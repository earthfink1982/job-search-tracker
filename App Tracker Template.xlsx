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xr:revisionPtr revIDLastSave="0" documentId="8_{8691770E-1C23-4E81-9D01-811A95B66851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ummary" sheetId="3" r:id="rId1"/>
    <sheet name="Applications" sheetId="1" r:id="rId2"/>
    <sheet name="Status and Tags Picklist" sheetId="2" r:id="rId3"/>
  </sheets>
  <calcPr calcId="191028"/>
  <pivotCaches>
    <pivotCache cacheId="530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C3" i="3"/>
  <c r="B3" i="3"/>
  <c r="B5" i="3" s="1" a="1"/>
  <c r="B5" i="3" s="1"/>
  <c r="I2" i="1" a="1"/>
  <c r="I2" i="1"/>
  <c r="I3" i="1" a="1"/>
  <c r="I3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I22" i="1" a="1"/>
  <c r="I22" i="1"/>
  <c r="I23" i="1" a="1"/>
  <c r="I23" i="1"/>
  <c r="I24" i="1" a="1"/>
  <c r="I24" i="1"/>
  <c r="I25" i="1" a="1"/>
  <c r="I25" i="1"/>
  <c r="I26" i="1" a="1"/>
  <c r="I26" i="1"/>
  <c r="I27" i="1" a="1"/>
  <c r="I27" i="1"/>
  <c r="I28" i="1" a="1"/>
  <c r="I28" i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/>
  <c r="I35" i="1" a="1"/>
  <c r="I35" i="1"/>
  <c r="H2" i="1" a="1"/>
  <c r="H2" i="1"/>
  <c r="J2" i="1" s="1"/>
  <c r="H3" i="1" a="1"/>
  <c r="H3" i="1"/>
  <c r="J3" i="1" s="1"/>
  <c r="H4" i="1" a="1"/>
  <c r="H4" i="1"/>
  <c r="J4" i="1" s="1"/>
  <c r="H5" i="1" a="1"/>
  <c r="H5" i="1"/>
  <c r="J5" i="1" s="1"/>
  <c r="H6" i="1" a="1"/>
  <c r="H6" i="1"/>
  <c r="J6" i="1" s="1"/>
  <c r="H7" i="1" a="1"/>
  <c r="H7" i="1"/>
  <c r="J7" i="1" s="1"/>
  <c r="H8" i="1" a="1"/>
  <c r="H8" i="1"/>
  <c r="J8" i="1" s="1"/>
  <c r="H9" i="1" a="1"/>
  <c r="H9" i="1"/>
  <c r="J9" i="1" s="1"/>
  <c r="H10" i="1" a="1"/>
  <c r="H10" i="1"/>
  <c r="J10" i="1" s="1"/>
  <c r="H11" i="1" a="1"/>
  <c r="H11" i="1"/>
  <c r="J11" i="1" s="1"/>
  <c r="H12" i="1" a="1"/>
  <c r="H12" i="1"/>
  <c r="J12" i="1" s="1"/>
  <c r="H13" i="1" a="1"/>
  <c r="H13" i="1"/>
  <c r="J13" i="1" s="1"/>
  <c r="H14" i="1" a="1"/>
  <c r="H14" i="1"/>
  <c r="J14" i="1" s="1"/>
  <c r="H15" i="1" a="1"/>
  <c r="H15" i="1"/>
  <c r="J15" i="1" s="1"/>
  <c r="H16" i="1" a="1"/>
  <c r="H16" i="1"/>
  <c r="J16" i="1" s="1"/>
  <c r="H17" i="1" a="1"/>
  <c r="H17" i="1"/>
  <c r="J17" i="1" s="1"/>
  <c r="H18" i="1" a="1"/>
  <c r="H18" i="1"/>
  <c r="J18" i="1" s="1"/>
  <c r="H19" i="1" a="1"/>
  <c r="H19" i="1"/>
  <c r="J19" i="1" s="1"/>
  <c r="H20" i="1" a="1"/>
  <c r="H20" i="1"/>
  <c r="J20" i="1" s="1"/>
  <c r="H21" i="1" a="1"/>
  <c r="H21" i="1"/>
  <c r="J21" i="1" s="1"/>
  <c r="H22" i="1" a="1"/>
  <c r="H22" i="1"/>
  <c r="J22" i="1" s="1"/>
  <c r="H23" i="1" a="1"/>
  <c r="H23" i="1"/>
  <c r="J23" i="1" s="1"/>
  <c r="H24" i="1" a="1"/>
  <c r="H24" i="1"/>
  <c r="J24" i="1" s="1"/>
  <c r="H25" i="1" a="1"/>
  <c r="H25" i="1"/>
  <c r="J25" i="1" s="1"/>
  <c r="H26" i="1" a="1"/>
  <c r="H26" i="1"/>
  <c r="J26" i="1" s="1"/>
  <c r="H27" i="1" a="1"/>
  <c r="H27" i="1"/>
  <c r="J27" i="1" s="1"/>
  <c r="H28" i="1" a="1"/>
  <c r="H28" i="1"/>
  <c r="J28" i="1" s="1"/>
  <c r="H29" i="1" a="1"/>
  <c r="H29" i="1"/>
  <c r="J29" i="1" s="1"/>
  <c r="H30" i="1" a="1"/>
  <c r="H30" i="1"/>
  <c r="J30" i="1" s="1"/>
  <c r="H31" i="1" a="1"/>
  <c r="H31" i="1"/>
  <c r="J31" i="1" s="1"/>
  <c r="H32" i="1" a="1"/>
  <c r="H32" i="1"/>
  <c r="J32" i="1" s="1"/>
  <c r="H33" i="1" a="1"/>
  <c r="H33" i="1"/>
  <c r="J33" i="1" s="1"/>
  <c r="H34" i="1" a="1"/>
  <c r="H34" i="1"/>
  <c r="J34" i="1" s="1"/>
  <c r="H35" i="1" a="1"/>
  <c r="H35" i="1"/>
  <c r="J35" i="1" s="1"/>
  <c r="C5" i="3" l="1" a="1"/>
  <c r="C5" i="3" s="1"/>
  <c r="D5" i="3" a="1"/>
  <c r="D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<sst xmlns="http://schemas.openxmlformats.org/spreadsheetml/2006/main" count="227" uniqueCount="118">
  <si>
    <t>Apps</t>
  </si>
  <si>
    <t>Responses</t>
  </si>
  <si>
    <t>Interviews</t>
  </si>
  <si>
    <t>Date Applied</t>
  </si>
  <si>
    <t>Applications</t>
  </si>
  <si>
    <t>Apps / Day</t>
  </si>
  <si>
    <t>Response %</t>
  </si>
  <si>
    <t>Conversion %</t>
  </si>
  <si>
    <t>Role</t>
  </si>
  <si>
    <t>Data Analyst</t>
  </si>
  <si>
    <t>Data Scientist</t>
  </si>
  <si>
    <t>Fullstack Engineer</t>
  </si>
  <si>
    <t>Marketing Analyst</t>
  </si>
  <si>
    <t>Operations Analyst</t>
  </si>
  <si>
    <t>Product Manager</t>
  </si>
  <si>
    <t>Security Engineer</t>
  </si>
  <si>
    <t>SQL Developer</t>
  </si>
  <si>
    <t>Solutions Architect</t>
  </si>
  <si>
    <t>Business Analyst</t>
  </si>
  <si>
    <t>Power BI Developer</t>
  </si>
  <si>
    <t>Business Process Analyst</t>
  </si>
  <si>
    <t>Recruitment Analyst</t>
  </si>
  <si>
    <t>Research Analyst</t>
  </si>
  <si>
    <t>Lead Power BI Developer</t>
  </si>
  <si>
    <t>Onboarding Specialist</t>
  </si>
  <si>
    <t>Fullstack Analyst</t>
  </si>
  <si>
    <t>Data Architect</t>
  </si>
  <si>
    <t>Solutions Consultant</t>
  </si>
  <si>
    <t>Power BI Architect</t>
  </si>
  <si>
    <t>Power BI Data Analyst</t>
  </si>
  <si>
    <t>Grand Total</t>
  </si>
  <si>
    <t>Company</t>
  </si>
  <si>
    <t>Job Link</t>
  </si>
  <si>
    <t>Status</t>
  </si>
  <si>
    <t>Tag</t>
  </si>
  <si>
    <t>Notes/ Cover Letter Link</t>
  </si>
  <si>
    <t>Reply</t>
  </si>
  <si>
    <t>Interview</t>
  </si>
  <si>
    <t>Days Since Applied</t>
  </si>
  <si>
    <t>TechNova</t>
  </si>
  <si>
    <t>https://example.com/job1</t>
  </si>
  <si>
    <t>Interviewing</t>
  </si>
  <si>
    <t>Contract</t>
  </si>
  <si>
    <t>DataFlow</t>
  </si>
  <si>
    <t>https://example.com/job2</t>
  </si>
  <si>
    <t>Applied</t>
  </si>
  <si>
    <t>Hybrid</t>
  </si>
  <si>
    <t>CloudScale</t>
  </si>
  <si>
    <t>https://example.com/job3</t>
  </si>
  <si>
    <t>Rejected</t>
  </si>
  <si>
    <t>Remote</t>
  </si>
  <si>
    <t>GreenGrid</t>
  </si>
  <si>
    <t>https://example.com/job4</t>
  </si>
  <si>
    <t>OnSite</t>
  </si>
  <si>
    <t>Nebula Systems</t>
  </si>
  <si>
    <t>https://nebula.jobs/101</t>
  </si>
  <si>
    <t>QuantEdge</t>
  </si>
  <si>
    <t>https://quantedge.com/apply</t>
  </si>
  <si>
    <t>EZ Apply</t>
  </si>
  <si>
    <t>Spark Creative</t>
  </si>
  <si>
    <t>https://spark.co/careers</t>
  </si>
  <si>
    <t>Titan Logistics</t>
  </si>
  <si>
    <t>https://titan.logistics/j/22</t>
  </si>
  <si>
    <t>Recruiter</t>
  </si>
  <si>
    <t>Vertex AI</t>
  </si>
  <si>
    <t>https://vertex.ai/careers</t>
  </si>
  <si>
    <t>BlueWave</t>
  </si>
  <si>
    <t>https://bluewave.io/jobs</t>
  </si>
  <si>
    <t>Solaris Energy</t>
  </si>
  <si>
    <t>https://solaris.energy/careers</t>
  </si>
  <si>
    <t>CyberShield</t>
  </si>
  <si>
    <t>https://cybershield.net/work</t>
  </si>
  <si>
    <t>Maple Leaf Tech</t>
  </si>
  <si>
    <t>https://mapleleaf.ca/jobs</t>
  </si>
  <si>
    <t>Zenith Apps</t>
  </si>
  <si>
    <t>https://zenith.apps/dev</t>
  </si>
  <si>
    <t>Riverstone</t>
  </si>
  <si>
    <t>https://riverstone.com/jobs</t>
  </si>
  <si>
    <t>Peak Performance</t>
  </si>
  <si>
    <t>https://peak.fit/jobs</t>
  </si>
  <si>
    <t>IronGate</t>
  </si>
  <si>
    <t>https://irongate.io/apply</t>
  </si>
  <si>
    <t>SwiftHire</t>
  </si>
  <si>
    <t>https://swifthire.com/j/5</t>
  </si>
  <si>
    <t>2nd Interview</t>
  </si>
  <si>
    <t>Nova Labs</t>
  </si>
  <si>
    <t>https://nova.labs/science</t>
  </si>
  <si>
    <t>Apex Global</t>
  </si>
  <si>
    <t>https://apex.global/careers</t>
  </si>
  <si>
    <t>Echo Media</t>
  </si>
  <si>
    <t>https://echo.media/hiring</t>
  </si>
  <si>
    <t>SilverLine</t>
  </si>
  <si>
    <t>https://silverline.com/qa</t>
  </si>
  <si>
    <t>GreenSpace</t>
  </si>
  <si>
    <t>https://greenspace.org/jobs</t>
  </si>
  <si>
    <t>TrueNorth</t>
  </si>
  <si>
    <t>https://truenorth.ai/career</t>
  </si>
  <si>
    <t>Vanguard Tech</t>
  </si>
  <si>
    <t>https://vanguard.tech/ops</t>
  </si>
  <si>
    <t>Orbit Digital</t>
  </si>
  <si>
    <t>https://orbit.digital/jobs</t>
  </si>
  <si>
    <t>Focal Point</t>
  </si>
  <si>
    <t>https://focalpoint.com/hire</t>
  </si>
  <si>
    <t>BrightSide</t>
  </si>
  <si>
    <t>https://brightside.com/team</t>
  </si>
  <si>
    <t>DeepLogic</t>
  </si>
  <si>
    <t>https://deeplogic.io/jobs</t>
  </si>
  <si>
    <t>Pulse Health</t>
  </si>
  <si>
    <t>https://pulse.health/careers</t>
  </si>
  <si>
    <t>AeroTech</t>
  </si>
  <si>
    <t>https://aerotech.com/apply</t>
  </si>
  <si>
    <t>Stellar Web</t>
  </si>
  <si>
    <t>https://stellar.web/jobs</t>
  </si>
  <si>
    <t>CodeCraft</t>
  </si>
  <si>
    <t>https://codecraft.edu/hire</t>
  </si>
  <si>
    <t>Visionary Corp</t>
  </si>
  <si>
    <t>https://visionary.com/pm</t>
  </si>
  <si>
    <t>Offer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</si>
</sst>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0%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14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39">
    <dxf>
      <numFmt numFmtId="0" formatCode="General"/>
      <alignment horizontal="center" wrapText="1"/>
    </dxf>
    <dxf>
      <numFmt numFmtId="0" formatCode="General"/>
      <alignment horizontal="center" wrapText="1"/>
    </dxf>
    <dxf>
      <numFmt numFmtId="0" formatCode="General"/>
      <alignment horizontal="center" wrapText="1"/>
    </dxf>
    <dxf>
      <alignment wrapText="1"/>
    </dxf>
    <dxf>
      <alignment horizontal="center"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left" vertical="top"/>
    </dxf>
    <dxf>
      <font>
        <color theme="3"/>
      </font>
      <fill>
        <patternFill patternType="solid">
          <bgColor theme="3" tint="0.749992370372631"/>
        </patternFill>
      </fill>
    </dxf>
    <dxf>
      <font>
        <color theme="0"/>
      </font>
      <fill>
        <patternFill patternType="solid">
          <bgColor theme="6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249977111117893"/>
      </font>
      <fill>
        <patternFill patternType="solid">
          <bgColor theme="6" tint="0.79998168889431442"/>
        </patternFill>
      </fill>
    </dxf>
    <dxf>
      <font>
        <color theme="0"/>
      </font>
      <fill>
        <patternFill patternType="solid">
          <bgColor rgb="FF0070C0"/>
        </patternFill>
      </fill>
    </dxf>
    <dxf>
      <font>
        <color theme="6"/>
      </font>
      <fill>
        <patternFill patternType="solid">
          <bgColor theme="6" tint="0.79998168889431442"/>
        </patternFill>
      </fill>
    </dxf>
    <dxf>
      <font>
        <color theme="0"/>
      </font>
      <fill>
        <patternFill patternType="solid">
          <bgColor rgb="FFFF0000"/>
        </patternFill>
      </fill>
    </dxf>
    <dxf>
      <numFmt numFmtId="166" formatCode="0.0%"/>
      <alignment horizontal="center"/>
    </dxf>
    <dxf>
      <numFmt numFmtId="166" formatCode="0.0%"/>
      <alignment horizontal="center"/>
    </dxf>
    <dxf>
      <numFmt numFmtId="165" formatCode="0.0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086.696469212962" createdVersion="8" refreshedVersion="8" minRefreshableVersion="3" recordCount="34" xr:uid="{04859AA9-4469-4CAB-BE97-C84EF599D273}">
  <cacheSource type="worksheet">
    <worksheetSource name="AppTable"/>
  </cacheSource>
  <cacheFields count="10">
    <cacheField name="Company" numFmtId="0">
      <sharedItems/>
    </cacheField>
    <cacheField name="Role" numFmtId="0">
      <sharedItems count="46">
        <s v="Data Analyst"/>
        <s v="Fullstack Analyst"/>
        <s v="Data Architect"/>
        <s v="Data Scientist"/>
        <s v="Solutions Architect"/>
        <s v="Operations Analyst"/>
        <s v="Business Analyst"/>
        <s v="Fullstack Engineer"/>
        <s v="Security Engineer"/>
        <s v="Power BI Developer"/>
        <s v="SQL Developer"/>
        <s v="Business Process Analyst"/>
        <s v="Recruitment Analyst"/>
        <s v="Research Analyst"/>
        <s v="Solutions Consultant"/>
        <s v="Power BI Architect"/>
        <s v="Marketing Analyst"/>
        <s v="Lead Power BI Developer"/>
        <s v="Onboarding Specialist"/>
        <s v="Power BI Data Analyst"/>
        <s v="Product Manager"/>
        <s v="DevOps Lead" u="1"/>
        <s v="Fullstack Dev" u="1"/>
        <s v="Senior Backend Dev" u="1"/>
        <s v="Cloud Architect" u="1"/>
        <s v="Frontend Developer" u="1"/>
        <s v="QA Engineer" u="1"/>
        <s v="DevOps Engineer" u="1"/>
        <s v="Data Engineer" u="1"/>
        <s v="Power BI Admin" u="1"/>
        <s v="Embedded Engineer" u="1"/>
        <s v="Web Designer" u="1"/>
        <s v="Software Instructor" u="1"/>
        <s v="Backend Engineer" u="1"/>
        <s v="UI/UX Designer" u="1"/>
        <s v="Machine Learning Eng" u="1"/>
        <s v="Project Manager" u="1"/>
        <s v="Java Developer" u="1"/>
        <s v="Mobile Developer" u="1"/>
        <s v="Product Owner" u="1"/>
        <s v="Recruitment Specialist" u="1"/>
        <s v="Research Scientist" u="1"/>
        <s v="Systems Admin" u="1"/>
        <s v="Lead Developer" u="1"/>
        <s v="Customer Success" u="1"/>
        <s v="Python Developer" u="1"/>
      </sharedItems>
    </cacheField>
    <cacheField name="Date Applied" numFmtId="14">
      <sharedItems containsSemiMixedTypes="0" containsNonDate="0" containsDate="1" containsString="0" minDate="2026-01-20T00:00:00" maxDate="2026-03-06T00:00:00" count="21">
        <d v="2026-02-15T00:00:00"/>
        <d v="2026-03-01T00:00:00"/>
        <d v="2026-01-20T00:00:00"/>
        <d v="2026-03-04T00:00:00"/>
        <d v="2026-02-10T00:00:00"/>
        <d v="2026-02-12T00:00:00"/>
        <d v="2026-02-14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2T00:00:00"/>
        <d v="2026-03-03T00:00:00"/>
        <d v="2026-03-05T00:00:00"/>
      </sharedItems>
    </cacheField>
    <cacheField name="Job Link" numFmtId="0">
      <sharedItems/>
    </cacheField>
    <cacheField name="Status" numFmtId="0">
      <sharedItems/>
    </cacheField>
    <cacheField name="Tag" numFmtId="0">
      <sharedItems/>
    </cacheField>
    <cacheField name="Notes/ Cover Letter Link" numFmtId="0">
      <sharedItems containsNonDate="0" containsString="0" containsBlank="1"/>
    </cacheField>
    <cacheField name="Reply" numFmtId="0">
      <sharedItems containsMixedTypes="1" containsNumber="1" containsInteger="1" minValue="1" maxValue="1"/>
    </cacheField>
    <cacheField name="Interview" numFmtId="0">
      <sharedItems containsMixedTypes="1" containsNumber="1" containsInteger="1" minValue="1" maxValue="1"/>
    </cacheField>
    <cacheField name="Days Since Applied" numFmtId="0">
      <sharedItems containsMixedTypes="1" containsNumber="1" containsInteger="1" minValue="0" maxValue="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TechNova"/>
    <x v="0"/>
    <x v="0"/>
    <s v="https://example.com/job1"/>
    <s v="Interviewing"/>
    <s v="Contract"/>
    <m/>
    <n v="1"/>
    <n v="1"/>
    <s v=""/>
  </r>
  <r>
    <s v="DataFlow"/>
    <x v="0"/>
    <x v="1"/>
    <s v="https://example.com/job2"/>
    <s v="Applied"/>
    <s v="Hybrid"/>
    <m/>
    <s v=""/>
    <s v=""/>
    <n v="4"/>
  </r>
  <r>
    <s v="CloudScale"/>
    <x v="0"/>
    <x v="2"/>
    <s v="https://example.com/job3"/>
    <s v="Rejected"/>
    <s v="Remote"/>
    <m/>
    <n v="1"/>
    <s v=""/>
    <s v=""/>
  </r>
  <r>
    <s v="GreenGrid"/>
    <x v="1"/>
    <x v="3"/>
    <s v="https://example.com/job4"/>
    <s v="Applied"/>
    <s v="OnSite"/>
    <m/>
    <s v=""/>
    <s v=""/>
    <n v="1"/>
  </r>
  <r>
    <s v="Nebula Systems"/>
    <x v="2"/>
    <x v="4"/>
    <s v="https://nebula.jobs/101"/>
    <s v="Rejected"/>
    <s v="Remote"/>
    <m/>
    <n v="1"/>
    <s v=""/>
    <s v=""/>
  </r>
  <r>
    <s v="QuantEdge"/>
    <x v="3"/>
    <x v="5"/>
    <s v="https://quantedge.com/apply"/>
    <s v="Applied"/>
    <s v="EZ Apply"/>
    <m/>
    <s v=""/>
    <s v=""/>
    <n v="21"/>
  </r>
  <r>
    <s v="Spark Creative"/>
    <x v="4"/>
    <x v="6"/>
    <s v="https://spark.co/careers"/>
    <s v="Rejected"/>
    <s v="Contract"/>
    <m/>
    <n v="1"/>
    <s v=""/>
    <s v=""/>
  </r>
  <r>
    <s v="Titan Logistics"/>
    <x v="5"/>
    <x v="0"/>
    <s v="https://titan.logistics/j/22"/>
    <s v="Rejected"/>
    <s v="Recruiter"/>
    <m/>
    <n v="1"/>
    <s v=""/>
    <s v=""/>
  </r>
  <r>
    <s v="Vertex AI"/>
    <x v="0"/>
    <x v="7"/>
    <s v="https://vertex.ai/careers"/>
    <s v="Rejected"/>
    <s v="Hybrid"/>
    <m/>
    <n v="1"/>
    <s v=""/>
    <s v=""/>
  </r>
  <r>
    <s v="BlueWave"/>
    <x v="6"/>
    <x v="8"/>
    <s v="https://bluewave.io/jobs"/>
    <s v="Applied"/>
    <s v="Remote"/>
    <m/>
    <s v=""/>
    <s v=""/>
    <n v="14"/>
  </r>
  <r>
    <s v="Solaris Energy"/>
    <x v="7"/>
    <x v="9"/>
    <s v="https://solaris.energy/careers"/>
    <s v="Rejected"/>
    <s v="OnSite"/>
    <m/>
    <n v="1"/>
    <s v=""/>
    <s v=""/>
  </r>
  <r>
    <s v="CyberShield"/>
    <x v="8"/>
    <x v="10"/>
    <s v="https://cybershield.net/work"/>
    <s v="Rejected"/>
    <s v="EZ Apply"/>
    <m/>
    <n v="1"/>
    <s v=""/>
    <s v=""/>
  </r>
  <r>
    <s v="Maple Leaf Tech"/>
    <x v="9"/>
    <x v="11"/>
    <s v="https://mapleleaf.ca/jobs"/>
    <s v="Rejected"/>
    <s v="Interview"/>
    <m/>
    <n v="1"/>
    <n v="1"/>
    <s v=""/>
  </r>
  <r>
    <s v="Zenith Apps"/>
    <x v="9"/>
    <x v="12"/>
    <s v="https://zenith.apps/dev"/>
    <s v="Applied"/>
    <s v="OnSite"/>
    <m/>
    <s v=""/>
    <s v=""/>
    <n v="10"/>
  </r>
  <r>
    <s v="Riverstone"/>
    <x v="10"/>
    <x v="13"/>
    <s v="https://riverstone.com/jobs"/>
    <s v="Applied"/>
    <s v="Hybrid"/>
    <m/>
    <s v=""/>
    <s v=""/>
    <n v="9"/>
  </r>
  <r>
    <s v="Peak Performance"/>
    <x v="11"/>
    <x v="14"/>
    <s v="https://peak.fit/jobs"/>
    <s v="Applied"/>
    <s v="OnSite"/>
    <m/>
    <s v=""/>
    <s v=""/>
    <n v="8"/>
  </r>
  <r>
    <s v="IronGate"/>
    <x v="0"/>
    <x v="15"/>
    <s v="https://irongate.io/apply"/>
    <s v="Applied"/>
    <s v="EZ Apply"/>
    <m/>
    <s v=""/>
    <s v=""/>
    <n v="7"/>
  </r>
  <r>
    <s v="SwiftHire"/>
    <x v="12"/>
    <x v="16"/>
    <s v="https://swifthire.com/j/5"/>
    <s v="Interviewing"/>
    <s v="2nd Interview"/>
    <m/>
    <n v="1"/>
    <n v="1"/>
    <s v=""/>
  </r>
  <r>
    <s v="Nova Labs"/>
    <x v="13"/>
    <x v="17"/>
    <s v="https://nova.labs/science"/>
    <s v="Applied"/>
    <s v="OnSite"/>
    <m/>
    <s v=""/>
    <s v=""/>
    <n v="5"/>
  </r>
  <r>
    <s v="Apex Global"/>
    <x v="14"/>
    <x v="1"/>
    <s v="https://apex.global/careers"/>
    <s v="Applied"/>
    <s v="Hybrid"/>
    <m/>
    <s v=""/>
    <s v=""/>
    <n v="4"/>
  </r>
  <r>
    <s v="Echo Media"/>
    <x v="9"/>
    <x v="1"/>
    <s v="https://echo.media/hiring"/>
    <s v="Rejected"/>
    <s v="Remote"/>
    <m/>
    <n v="1"/>
    <s v=""/>
    <s v=""/>
  </r>
  <r>
    <s v="SilverLine"/>
    <x v="6"/>
    <x v="18"/>
    <s v="https://silverline.com/qa"/>
    <s v="Rejected"/>
    <s v="Contract"/>
    <m/>
    <n v="1"/>
    <s v=""/>
    <s v=""/>
  </r>
  <r>
    <s v="GreenSpace"/>
    <x v="0"/>
    <x v="18"/>
    <s v="https://greenspace.org/jobs"/>
    <s v="Applied"/>
    <s v="EZ Apply"/>
    <m/>
    <s v=""/>
    <s v=""/>
    <n v="3"/>
  </r>
  <r>
    <s v="TrueNorth"/>
    <x v="0"/>
    <x v="18"/>
    <s v="https://truenorth.ai/career"/>
    <s v="Interviewing"/>
    <s v="Hybrid"/>
    <m/>
    <n v="1"/>
    <n v="1"/>
    <s v=""/>
  </r>
  <r>
    <s v="Vanguard Tech"/>
    <x v="15"/>
    <x v="19"/>
    <s v="https://vanguard.tech/ops"/>
    <s v="Applied"/>
    <s v="Remote"/>
    <m/>
    <s v=""/>
    <s v=""/>
    <n v="2"/>
  </r>
  <r>
    <s v="Orbit Digital"/>
    <x v="16"/>
    <x v="19"/>
    <s v="https://orbit.digital/jobs"/>
    <s v="Applied"/>
    <s v="Recruiter"/>
    <m/>
    <s v=""/>
    <s v=""/>
    <n v="2"/>
  </r>
  <r>
    <s v="Focal Point"/>
    <x v="17"/>
    <x v="19"/>
    <s v="https://focalpoint.com/hire"/>
    <s v="Applied"/>
    <s v="Hybrid"/>
    <m/>
    <s v=""/>
    <s v=""/>
    <n v="2"/>
  </r>
  <r>
    <s v="BrightSide"/>
    <x v="18"/>
    <x v="3"/>
    <s v="https://brightside.com/team"/>
    <s v="Applied"/>
    <s v="OnSite"/>
    <m/>
    <s v=""/>
    <s v=""/>
    <n v="1"/>
  </r>
  <r>
    <s v="DeepLogic"/>
    <x v="6"/>
    <x v="3"/>
    <s v="https://deeplogic.io/jobs"/>
    <s v="Applied"/>
    <s v="Hybrid"/>
    <m/>
    <s v=""/>
    <s v=""/>
    <n v="1"/>
  </r>
  <r>
    <s v="Pulse Health"/>
    <x v="0"/>
    <x v="3"/>
    <s v="https://pulse.health/careers"/>
    <s v="Applied"/>
    <s v="EZ Apply"/>
    <m/>
    <s v=""/>
    <s v=""/>
    <n v="1"/>
  </r>
  <r>
    <s v="AeroTech"/>
    <x v="9"/>
    <x v="20"/>
    <s v="https://aerotech.com/apply"/>
    <s v="Applied"/>
    <s v="EZ Apply"/>
    <m/>
    <s v=""/>
    <s v=""/>
    <n v="0"/>
  </r>
  <r>
    <s v="Stellar Web"/>
    <x v="19"/>
    <x v="20"/>
    <s v="https://stellar.web/jobs"/>
    <s v="Applied"/>
    <s v="Recruiter"/>
    <m/>
    <s v=""/>
    <s v=""/>
    <n v="0"/>
  </r>
  <r>
    <s v="CodeCraft"/>
    <x v="0"/>
    <x v="20"/>
    <s v="https://codecraft.edu/hire"/>
    <s v="Applied"/>
    <s v="Hybrid"/>
    <m/>
    <s v=""/>
    <s v=""/>
    <n v="0"/>
  </r>
  <r>
    <s v="Visionary Corp"/>
    <x v="20"/>
    <x v="20"/>
    <s v="https://visionary.com/pm"/>
    <s v="Applied"/>
    <s v="OnSite"/>
    <m/>
    <s v=""/>
    <s v="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990CF-545E-44D1-A6CB-C02174268F04}" name="Titles" cacheId="53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9:D31" firstHeaderRow="0" firstDataRow="1" firstDataCol="1"/>
  <pivotFields count="10">
    <pivotField compact="0" outline="0" showAll="0"/>
    <pivotField axis="axisRow" compact="0" outline="0" showAll="0">
      <items count="47">
        <item m="1" x="33"/>
        <item m="1" x="24"/>
        <item m="1" x="44"/>
        <item x="0"/>
        <item m="1" x="28"/>
        <item x="3"/>
        <item m="1" x="27"/>
        <item m="1" x="21"/>
        <item m="1" x="30"/>
        <item m="1" x="25"/>
        <item m="1" x="22"/>
        <item x="7"/>
        <item m="1" x="37"/>
        <item m="1" x="43"/>
        <item m="1" x="35"/>
        <item x="16"/>
        <item m="1" x="38"/>
        <item x="5"/>
        <item x="20"/>
        <item m="1" x="39"/>
        <item m="1" x="36"/>
        <item m="1" x="45"/>
        <item m="1" x="26"/>
        <item m="1" x="40"/>
        <item m="1" x="41"/>
        <item x="8"/>
        <item m="1" x="23"/>
        <item m="1" x="32"/>
        <item x="10"/>
        <item m="1" x="42"/>
        <item m="1" x="34"/>
        <item m="1" x="31"/>
        <item x="4"/>
        <item x="6"/>
        <item x="9"/>
        <item x="11"/>
        <item x="12"/>
        <item x="13"/>
        <item m="1" x="29"/>
        <item x="17"/>
        <item x="18"/>
        <item x="1"/>
        <item x="2"/>
        <item x="14"/>
        <item x="15"/>
        <item x="19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</pivotFields>
  <rowFields count="1">
    <field x="1"/>
  </rowFields>
  <rowItems count="22">
    <i>
      <x v="3"/>
    </i>
    <i>
      <x v="5"/>
    </i>
    <i>
      <x v="11"/>
    </i>
    <i>
      <x v="15"/>
    </i>
    <i>
      <x v="17"/>
    </i>
    <i>
      <x v="18"/>
    </i>
    <i>
      <x v="25"/>
    </i>
    <i>
      <x v="28"/>
    </i>
    <i>
      <x v="32"/>
    </i>
    <i>
      <x v="33"/>
    </i>
    <i>
      <x v="34"/>
    </i>
    <i>
      <x v="35"/>
    </i>
    <i>
      <x v="36"/>
    </i>
    <i>
      <x v="37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-2"/>
  </colFields>
  <colItems count="2">
    <i>
      <x/>
    </i>
    <i i="1">
      <x v="1"/>
    </i>
  </colItems>
  <dataFields count="2">
    <dataField name="Responses" fld="7" baseField="0" baseItem="0"/>
    <dataField name="Interviews" fld="8" baseField="0" baseItem="0"/>
  </dataFields>
  <formats count="2">
    <format dxfId="37">
      <pivotArea outline="0" collapsedLevelsAreSubtotals="1" fieldPosition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411A9-873F-4B1F-867F-9D6FB26D44B1}" name="SummaryPivot" cacheId="530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F2:I23" firstHeaderRow="0" firstDataRow="1" firstDataCol="1"/>
  <pivotFields count="10">
    <pivotField compact="0" outline="0" showAll="0"/>
    <pivotField dataField="1" compact="0" outline="0" showAll="0"/>
    <pivotField axis="axisRow" compact="0" numFmtId="14" outline="0" showAll="0">
      <items count="22">
        <item x="2"/>
        <item x="4"/>
        <item x="5"/>
        <item x="6"/>
        <item x="0"/>
        <item x="7"/>
        <item x="8"/>
        <item x="9"/>
        <item x="10"/>
        <item x="11"/>
        <item x="12"/>
        <item x="13"/>
        <item x="14"/>
        <item x="15"/>
        <item x="16"/>
        <item x="17"/>
        <item x="1"/>
        <item x="18"/>
        <item x="19"/>
        <item x="3"/>
        <item x="2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-2"/>
  </colFields>
  <colItems count="3">
    <i>
      <x/>
    </i>
    <i i="1">
      <x v="1"/>
    </i>
    <i i="2">
      <x v="2"/>
    </i>
  </colItems>
  <dataFields count="3">
    <dataField name="Applications" fld="1" subtotal="count" baseField="0" baseItem="0"/>
    <dataField name="Responses" fld="7" baseField="0" baseItem="0"/>
    <dataField name="Interviews" fld="8" baseField="0" baseItem="0"/>
  </dataFields>
  <formats count="8">
    <format dxfId="29">
      <pivotArea field="2" type="button" dataOnly="0" labelOnly="1" outline="0" axis="axisRow" fieldPosition="0"/>
    </format>
    <format dxfId="30">
      <pivotArea dataOnly="0" labelOnly="1" outline="0" fieldPosition="0">
        <references count="1">
          <reference field="2" count="0"/>
        </references>
      </pivotArea>
    </format>
    <format dxfId="31">
      <pivotArea dataOnly="0" labelOnly="1" grandRow="1" outline="0" fieldPosition="0"/>
    </format>
    <format dxfId="32">
      <pivotArea dataOnly="0" labelOnly="1" outline="0" axis="axisValues" fieldPosition="0"/>
    </format>
    <format dxfId="33">
      <pivotArea outline="0" fieldPosition="0">
        <references count="1">
          <reference field="4294967294" count="1" selected="0">
            <x v="1"/>
          </reference>
        </references>
      </pivotArea>
    </format>
    <format dxfId="34">
      <pivotArea outline="0" fieldPosition="0">
        <references count="1">
          <reference field="4294967294" count="1" selected="0">
            <x v="2"/>
          </reference>
        </references>
      </pivotArea>
    </format>
    <format dxfId="35">
      <pivotArea outline="0" collapsedLevelsAreSubtotals="1" fieldPosition="0"/>
    </format>
    <format dxfId="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Daily Applications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914CAD-9F90-4485-B391-88F0C2D6FED5}" name="Activity" displayName="Activity" ref="B2:D3" totalsRowShown="0" headerRowDxfId="28" dataDxfId="27">
  <autoFilter ref="B2:D3" xr:uid="{A7914CAD-9F90-4485-B391-88F0C2D6FED5}"/>
  <tableColumns count="3">
    <tableColumn id="1" xr3:uid="{B8E68B3E-CF6D-413B-96DE-2E62B635E814}" name="Apps" dataDxfId="26">
      <calculatedColumnFormula>SUM(G:G)</calculatedColumnFormula>
    </tableColumn>
    <tableColumn id="2" xr3:uid="{4112B4DB-9CAD-4FDF-A6A6-2EA9239E4FA6}" name="Responses" dataDxfId="25">
      <calculatedColumnFormula>SUM(H:H)</calculatedColumnFormula>
    </tableColumn>
    <tableColumn id="3" xr3:uid="{67654D3B-C637-43D1-8E00-D1A77B348171}" name="Interviews" dataDxfId="24">
      <calculatedColumnFormula>SUM(I:I)</calculatedColumnFormula>
    </tableColumn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B09B65-9B2A-4CC5-BAF5-4183C23AA510}" name="Results" displayName="Results" ref="B4:D5" totalsRowShown="0" headerRowDxfId="23" dataDxfId="22">
  <autoFilter ref="B4:D5" xr:uid="{CDB09B65-9B2A-4CC5-BAF5-4183C23AA510}"/>
  <tableColumns count="3">
    <tableColumn id="1" xr3:uid="{114089FA-A362-40A0-B476-60ECCF22C723}" name="Apps / Day" dataDxfId="21">
      <calculatedColumnFormula array="1">Activity[Apps]/COUNT(F:F)</calculatedColumnFormula>
    </tableColumn>
    <tableColumn id="2" xr3:uid="{DF415310-2172-451E-8B03-029DD3ADEA74}" name="Response %" dataDxfId="20">
      <calculatedColumnFormula array="1">Activity[Responses]/Activity[Apps]</calculatedColumnFormula>
    </tableColumn>
    <tableColumn id="3" xr3:uid="{2C8A328D-D4B8-41E9-9AE0-52296A3A2B17}" name="Conversion %" dataDxfId="19">
      <calculatedColumnFormula array="1">Activity[Interviews]/Activity[Apps]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4AB5ED-07E8-4C1A-AA08-0AF798332485}" name="AppTable" displayName="AppTable" ref="A1:J35" totalsRowShown="0" headerRowDxfId="11" dataDxfId="10">
  <autoFilter ref="A1:J35" xr:uid="{414AB5ED-07E8-4C1A-AA08-0AF798332485}"/>
  <tableColumns count="10">
    <tableColumn id="1" xr3:uid="{AB765E5E-41A9-4AAC-BB2D-B7A704C8D475}" name="Company" dataDxfId="9"/>
    <tableColumn id="2" xr3:uid="{D6140278-014A-409E-B771-511AF9935CA9}" name="Role" dataDxfId="8"/>
    <tableColumn id="3" xr3:uid="{EA554084-BDD5-4D93-803E-51AEEA226B3C}" name="Date Applied" dataDxfId="7"/>
    <tableColumn id="4" xr3:uid="{A11B0DD1-97FE-46DE-8F70-53A51C37D7F8}" name="Job Link" dataDxfId="6"/>
    <tableColumn id="5" xr3:uid="{D84AC289-8D7B-4300-A873-C6BE6C1E1453}" name="Status" dataDxfId="5"/>
    <tableColumn id="6" xr3:uid="{D43389FC-0A8B-446F-9B55-34280114FBF4}" name="Tag" dataDxfId="4"/>
    <tableColumn id="7" xr3:uid="{750020C9-FEE7-4613-AD67-4FD084252FBD}" name="Notes/ Cover Letter Link" dataDxfId="3"/>
    <tableColumn id="8" xr3:uid="{C605B4D2-7E97-4CEE-8306-38DE71E60837}" name="Reply" dataDxfId="2">
      <calculatedColumnFormula array="1">_xlfn.SWITCH(TRUE(),AppTable[[#This Row],[Status]] = "Applied","",AppTable[[#This Row],[Status]] ="Interviewing", 1, AppTable[[#This Row],[Status]] ="Rejected", 1, AppTable[[#This Row],[Status]] ="Offer", 1,"")</calculatedColumnFormula>
    </tableColumn>
    <tableColumn id="9" xr3:uid="{87009D4D-28FE-4D5D-967E-F74927812807}" name="Interview" dataDxfId="1">
      <calculatedColumnFormula array="1" xml:space="preserve"> _xlfn.SWITCH(TRUE(),AppTable[[#This Row],[Status]]="Interviewing",1,ISNUMBER(SEARCH("Interview",AppTable[[#This Row],[Tag]])),1,"")</calculatedColumnFormula>
    </tableColumn>
    <tableColumn id="10" xr3:uid="{42F8231D-813B-4F71-9806-C72E693F5F89}" name="Days Since Applied" dataDxfId="0">
      <calculatedColumnFormula>IF(AppTable[[#This Row],[Reply]]=1,"",TODAY() - AppTable[[#This Row],[Date Applied]])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B414-94F7-46BC-AEBA-12DA8012C8A8}">
  <dimension ref="B2:I52"/>
  <sheetViews>
    <sheetView topLeftCell="A11" workbookViewId="0">
      <selection activeCell="B20" sqref="B20"/>
    </sheetView>
  </sheetViews>
  <sheetFormatPr defaultRowHeight="15"/>
  <cols>
    <col min="2" max="2" width="22.42578125" style="1" bestFit="1" customWidth="1"/>
    <col min="3" max="3" width="10.5703125" style="1" customWidth="1"/>
    <col min="4" max="4" width="10" style="1" customWidth="1"/>
    <col min="6" max="6" width="18.28515625" bestFit="1" customWidth="1"/>
    <col min="7" max="7" width="12" bestFit="1" customWidth="1"/>
    <col min="8" max="8" width="10.5703125" bestFit="1" customWidth="1"/>
    <col min="9" max="9" width="10" bestFit="1" customWidth="1"/>
  </cols>
  <sheetData>
    <row r="2" spans="2:9">
      <c r="B2" s="1" t="s">
        <v>0</v>
      </c>
      <c r="C2" s="1" t="s">
        <v>1</v>
      </c>
      <c r="D2" s="1" t="s">
        <v>2</v>
      </c>
      <c r="F2" s="11" t="s">
        <v>3</v>
      </c>
      <c r="G2" s="1" t="s">
        <v>4</v>
      </c>
      <c r="H2" s="1" t="s">
        <v>1</v>
      </c>
      <c r="I2" s="1" t="s">
        <v>2</v>
      </c>
    </row>
    <row r="3" spans="2:9">
      <c r="B3" s="1">
        <f>SUM(G:G)</f>
        <v>34</v>
      </c>
      <c r="C3" s="1">
        <f>SUM(H:H)</f>
        <v>13</v>
      </c>
      <c r="D3" s="1">
        <f>SUM(I:I)</f>
        <v>4</v>
      </c>
      <c r="F3" s="12">
        <v>46042</v>
      </c>
      <c r="G3" s="10">
        <v>1</v>
      </c>
      <c r="H3" s="10">
        <v>1</v>
      </c>
      <c r="I3" s="10">
        <v>0</v>
      </c>
    </row>
    <row r="4" spans="2:9">
      <c r="B4" s="1" t="s">
        <v>5</v>
      </c>
      <c r="C4" s="1" t="s">
        <v>6</v>
      </c>
      <c r="D4" s="1" t="s">
        <v>7</v>
      </c>
      <c r="F4" s="12">
        <v>46063</v>
      </c>
      <c r="G4" s="10">
        <v>1</v>
      </c>
      <c r="H4" s="10">
        <v>1</v>
      </c>
      <c r="I4" s="10">
        <v>0</v>
      </c>
    </row>
    <row r="5" spans="2:9">
      <c r="B5" s="13" cm="1">
        <f t="array" ref="B5">Activity[Apps]/COUNT(F:F)</f>
        <v>1.6190476190476191</v>
      </c>
      <c r="C5" s="14" cm="1">
        <f t="array" ref="C5">Activity[Responses]/Activity[Apps]</f>
        <v>0.38235294117647056</v>
      </c>
      <c r="D5" s="14" cm="1">
        <f t="array" ref="D5">Activity[Interviews]/Activity[Apps]</f>
        <v>0.11764705882352941</v>
      </c>
      <c r="F5" s="12">
        <v>46065</v>
      </c>
      <c r="G5" s="10">
        <v>1</v>
      </c>
      <c r="H5" s="10">
        <v>0</v>
      </c>
      <c r="I5" s="10">
        <v>0</v>
      </c>
    </row>
    <row r="6" spans="2:9">
      <c r="F6" s="12">
        <v>46067</v>
      </c>
      <c r="G6" s="10">
        <v>1</v>
      </c>
      <c r="H6" s="10">
        <v>1</v>
      </c>
      <c r="I6" s="10">
        <v>0</v>
      </c>
    </row>
    <row r="7" spans="2:9">
      <c r="F7" s="12">
        <v>46068</v>
      </c>
      <c r="G7" s="10">
        <v>2</v>
      </c>
      <c r="H7" s="10">
        <v>2</v>
      </c>
      <c r="I7" s="10">
        <v>1</v>
      </c>
    </row>
    <row r="8" spans="2:9">
      <c r="F8" s="12">
        <v>46071</v>
      </c>
      <c r="G8" s="10">
        <v>1</v>
      </c>
      <c r="H8" s="10">
        <v>1</v>
      </c>
      <c r="I8" s="10">
        <v>0</v>
      </c>
    </row>
    <row r="9" spans="2:9">
      <c r="B9" s="9" t="s">
        <v>8</v>
      </c>
      <c r="C9" s="1" t="s">
        <v>1</v>
      </c>
      <c r="D9" s="1" t="s">
        <v>2</v>
      </c>
      <c r="F9" s="12">
        <v>46072</v>
      </c>
      <c r="G9" s="10">
        <v>1</v>
      </c>
      <c r="H9" s="10">
        <v>0</v>
      </c>
      <c r="I9" s="10">
        <v>0</v>
      </c>
    </row>
    <row r="10" spans="2:9">
      <c r="B10" t="s">
        <v>9</v>
      </c>
      <c r="C10" s="10">
        <v>4</v>
      </c>
      <c r="D10" s="10">
        <v>2</v>
      </c>
      <c r="F10" s="12">
        <v>46073</v>
      </c>
      <c r="G10" s="10">
        <v>1</v>
      </c>
      <c r="H10" s="10">
        <v>1</v>
      </c>
      <c r="I10" s="10">
        <v>0</v>
      </c>
    </row>
    <row r="11" spans="2:9">
      <c r="B11" t="s">
        <v>10</v>
      </c>
      <c r="C11" s="10">
        <v>0</v>
      </c>
      <c r="D11" s="10">
        <v>0</v>
      </c>
      <c r="F11" s="12">
        <v>46074</v>
      </c>
      <c r="G11" s="10">
        <v>1</v>
      </c>
      <c r="H11" s="10">
        <v>1</v>
      </c>
      <c r="I11" s="10">
        <v>0</v>
      </c>
    </row>
    <row r="12" spans="2:9">
      <c r="B12" t="s">
        <v>11</v>
      </c>
      <c r="C12" s="10">
        <v>1</v>
      </c>
      <c r="D12" s="10">
        <v>0</v>
      </c>
      <c r="F12" s="12">
        <v>46075</v>
      </c>
      <c r="G12" s="10">
        <v>1</v>
      </c>
      <c r="H12" s="10">
        <v>1</v>
      </c>
      <c r="I12" s="10">
        <v>1</v>
      </c>
    </row>
    <row r="13" spans="2:9">
      <c r="B13" t="s">
        <v>12</v>
      </c>
      <c r="C13" s="10">
        <v>0</v>
      </c>
      <c r="D13" s="10">
        <v>0</v>
      </c>
      <c r="F13" s="12">
        <v>46076</v>
      </c>
      <c r="G13" s="10">
        <v>1</v>
      </c>
      <c r="H13" s="10">
        <v>0</v>
      </c>
      <c r="I13" s="10">
        <v>0</v>
      </c>
    </row>
    <row r="14" spans="2:9">
      <c r="B14" t="s">
        <v>13</v>
      </c>
      <c r="C14" s="10">
        <v>1</v>
      </c>
      <c r="D14" s="10">
        <v>0</v>
      </c>
      <c r="F14" s="12">
        <v>46077</v>
      </c>
      <c r="G14" s="10">
        <v>1</v>
      </c>
      <c r="H14" s="10">
        <v>0</v>
      </c>
      <c r="I14" s="10">
        <v>0</v>
      </c>
    </row>
    <row r="15" spans="2:9">
      <c r="B15" t="s">
        <v>14</v>
      </c>
      <c r="C15" s="10">
        <v>0</v>
      </c>
      <c r="D15" s="10">
        <v>0</v>
      </c>
      <c r="F15" s="12">
        <v>46078</v>
      </c>
      <c r="G15" s="10">
        <v>1</v>
      </c>
      <c r="H15" s="10">
        <v>0</v>
      </c>
      <c r="I15" s="10">
        <v>0</v>
      </c>
    </row>
    <row r="16" spans="2:9">
      <c r="B16" t="s">
        <v>15</v>
      </c>
      <c r="C16" s="10">
        <v>1</v>
      </c>
      <c r="D16" s="10">
        <v>0</v>
      </c>
      <c r="F16" s="12">
        <v>46079</v>
      </c>
      <c r="G16" s="10">
        <v>1</v>
      </c>
      <c r="H16" s="10">
        <v>0</v>
      </c>
      <c r="I16" s="10">
        <v>0</v>
      </c>
    </row>
    <row r="17" spans="2:9">
      <c r="B17" t="s">
        <v>16</v>
      </c>
      <c r="C17" s="10">
        <v>0</v>
      </c>
      <c r="D17" s="10">
        <v>0</v>
      </c>
      <c r="F17" s="12">
        <v>46080</v>
      </c>
      <c r="G17" s="10">
        <v>1</v>
      </c>
      <c r="H17" s="10">
        <v>1</v>
      </c>
      <c r="I17" s="10">
        <v>1</v>
      </c>
    </row>
    <row r="18" spans="2:9">
      <c r="B18" t="s">
        <v>17</v>
      </c>
      <c r="C18" s="10">
        <v>1</v>
      </c>
      <c r="D18" s="10">
        <v>0</v>
      </c>
      <c r="F18" s="12">
        <v>46081</v>
      </c>
      <c r="G18" s="10">
        <v>1</v>
      </c>
      <c r="H18" s="10">
        <v>0</v>
      </c>
      <c r="I18" s="10">
        <v>0</v>
      </c>
    </row>
    <row r="19" spans="2:9">
      <c r="B19" t="s">
        <v>18</v>
      </c>
      <c r="C19" s="10">
        <v>1</v>
      </c>
      <c r="D19" s="10">
        <v>0</v>
      </c>
      <c r="F19" s="12">
        <v>46082</v>
      </c>
      <c r="G19" s="10">
        <v>3</v>
      </c>
      <c r="H19" s="10">
        <v>1</v>
      </c>
      <c r="I19" s="10">
        <v>0</v>
      </c>
    </row>
    <row r="20" spans="2:9">
      <c r="B20" t="s">
        <v>19</v>
      </c>
      <c r="C20" s="10">
        <v>2</v>
      </c>
      <c r="D20" s="10">
        <v>1</v>
      </c>
      <c r="F20" s="12">
        <v>46083</v>
      </c>
      <c r="G20" s="10">
        <v>3</v>
      </c>
      <c r="H20" s="10">
        <v>2</v>
      </c>
      <c r="I20" s="10">
        <v>1</v>
      </c>
    </row>
    <row r="21" spans="2:9">
      <c r="B21" t="s">
        <v>20</v>
      </c>
      <c r="C21" s="10">
        <v>0</v>
      </c>
      <c r="D21" s="10">
        <v>0</v>
      </c>
      <c r="F21" s="12">
        <v>46084</v>
      </c>
      <c r="G21" s="10">
        <v>3</v>
      </c>
      <c r="H21" s="10">
        <v>0</v>
      </c>
      <c r="I21" s="10">
        <v>0</v>
      </c>
    </row>
    <row r="22" spans="2:9">
      <c r="B22" t="s">
        <v>21</v>
      </c>
      <c r="C22" s="10">
        <v>1</v>
      </c>
      <c r="D22" s="10">
        <v>1</v>
      </c>
      <c r="F22" s="12">
        <v>46085</v>
      </c>
      <c r="G22" s="10">
        <v>4</v>
      </c>
      <c r="H22" s="10">
        <v>0</v>
      </c>
      <c r="I22" s="10">
        <v>0</v>
      </c>
    </row>
    <row r="23" spans="2:9">
      <c r="B23" t="s">
        <v>22</v>
      </c>
      <c r="C23" s="10">
        <v>0</v>
      </c>
      <c r="D23" s="10">
        <v>0</v>
      </c>
      <c r="F23" s="12">
        <v>46086</v>
      </c>
      <c r="G23" s="10">
        <v>4</v>
      </c>
      <c r="H23" s="10">
        <v>0</v>
      </c>
      <c r="I23" s="10">
        <v>0</v>
      </c>
    </row>
    <row r="24" spans="2:9">
      <c r="B24" t="s">
        <v>23</v>
      </c>
      <c r="C24" s="10">
        <v>0</v>
      </c>
      <c r="D24" s="10">
        <v>0</v>
      </c>
    </row>
    <row r="25" spans="2:9">
      <c r="B25" t="s">
        <v>24</v>
      </c>
      <c r="C25" s="10">
        <v>0</v>
      </c>
      <c r="D25" s="10">
        <v>0</v>
      </c>
    </row>
    <row r="26" spans="2:9">
      <c r="B26" t="s">
        <v>25</v>
      </c>
      <c r="C26" s="10">
        <v>0</v>
      </c>
      <c r="D26" s="10">
        <v>0</v>
      </c>
    </row>
    <row r="27" spans="2:9">
      <c r="B27" t="s">
        <v>26</v>
      </c>
      <c r="C27" s="10">
        <v>1</v>
      </c>
      <c r="D27" s="10">
        <v>0</v>
      </c>
    </row>
    <row r="28" spans="2:9">
      <c r="B28" t="s">
        <v>27</v>
      </c>
      <c r="C28" s="10">
        <v>0</v>
      </c>
      <c r="D28" s="10">
        <v>0</v>
      </c>
    </row>
    <row r="29" spans="2:9">
      <c r="B29" t="s">
        <v>28</v>
      </c>
      <c r="C29" s="10">
        <v>0</v>
      </c>
      <c r="D29" s="10">
        <v>0</v>
      </c>
    </row>
    <row r="30" spans="2:9">
      <c r="B30" t="s">
        <v>29</v>
      </c>
      <c r="C30" s="10">
        <v>0</v>
      </c>
      <c r="D30" s="10">
        <v>0</v>
      </c>
    </row>
    <row r="31" spans="2:9">
      <c r="B31" t="s">
        <v>30</v>
      </c>
      <c r="C31" s="10">
        <v>13</v>
      </c>
      <c r="D31" s="10">
        <v>4</v>
      </c>
    </row>
    <row r="32" spans="2:9">
      <c r="B32"/>
      <c r="C32"/>
      <c r="D32"/>
    </row>
    <row r="33" spans="2:4">
      <c r="B33"/>
      <c r="C33"/>
      <c r="D33"/>
    </row>
    <row r="34" spans="2:4">
      <c r="B34"/>
      <c r="C34"/>
      <c r="D34"/>
    </row>
    <row r="35" spans="2:4">
      <c r="B35"/>
      <c r="C35"/>
      <c r="D35"/>
    </row>
    <row r="36" spans="2:4">
      <c r="B36"/>
      <c r="C36"/>
      <c r="D36"/>
    </row>
    <row r="37" spans="2:4">
      <c r="B37"/>
      <c r="C37"/>
      <c r="D37"/>
    </row>
    <row r="38" spans="2:4">
      <c r="B38"/>
      <c r="C38"/>
      <c r="D38"/>
    </row>
    <row r="39" spans="2:4">
      <c r="B39"/>
      <c r="C39"/>
      <c r="D39"/>
    </row>
    <row r="40" spans="2:4">
      <c r="B40"/>
      <c r="C40"/>
      <c r="D40"/>
    </row>
    <row r="41" spans="2:4">
      <c r="B41"/>
      <c r="C41"/>
      <c r="D41"/>
    </row>
    <row r="42" spans="2:4">
      <c r="B42"/>
      <c r="C42"/>
      <c r="D42"/>
    </row>
    <row r="43" spans="2:4">
      <c r="B43"/>
    </row>
    <row r="44" spans="2:4">
      <c r="B44"/>
    </row>
    <row r="45" spans="2:4">
      <c r="B45"/>
    </row>
    <row r="46" spans="2:4">
      <c r="B46"/>
    </row>
    <row r="47" spans="2:4">
      <c r="B47"/>
    </row>
    <row r="48" spans="2:4">
      <c r="B48"/>
    </row>
    <row r="49" spans="2:2">
      <c r="B49"/>
    </row>
    <row r="50" spans="2:2">
      <c r="B50"/>
    </row>
    <row r="51" spans="2:2">
      <c r="B51"/>
    </row>
    <row r="52" spans="2:2">
      <c r="B52"/>
    </row>
  </sheetData>
  <pageMargins left="0.7" right="0.7" top="0.75" bottom="0.75" header="0.3" footer="0.3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workbookViewId="0">
      <selection activeCell="B7" sqref="B7"/>
    </sheetView>
  </sheetViews>
  <sheetFormatPr defaultRowHeight="15"/>
  <cols>
    <col min="1" max="1" width="16.42578125" bestFit="1" customWidth="1"/>
    <col min="2" max="2" width="30.28515625" customWidth="1"/>
    <col min="3" max="3" width="14.5703125" bestFit="1" customWidth="1"/>
    <col min="4" max="4" width="26.140625" bestFit="1" customWidth="1"/>
    <col min="5" max="5" width="11.140625" bestFit="1" customWidth="1"/>
    <col min="6" max="6" width="12.28515625" style="1" bestFit="1" customWidth="1"/>
    <col min="7" max="7" width="25.5703125" customWidth="1"/>
    <col min="8" max="8" width="10.7109375" style="1" customWidth="1"/>
    <col min="9" max="9" width="13.28515625" style="1" customWidth="1"/>
    <col min="10" max="10" width="15.28515625" style="3" customWidth="1"/>
  </cols>
  <sheetData>
    <row r="1" spans="1:10" s="6" customFormat="1" ht="29.25">
      <c r="A1" s="4" t="s">
        <v>31</v>
      </c>
      <c r="B1" s="4" t="s">
        <v>8</v>
      </c>
      <c r="C1" s="4" t="s">
        <v>3</v>
      </c>
      <c r="D1" s="4" t="s">
        <v>32</v>
      </c>
      <c r="E1" s="4" t="s">
        <v>33</v>
      </c>
      <c r="F1" s="5" t="s">
        <v>34</v>
      </c>
      <c r="G1" s="4" t="s">
        <v>35</v>
      </c>
      <c r="H1" s="5" t="s">
        <v>36</v>
      </c>
      <c r="I1" s="5" t="s">
        <v>37</v>
      </c>
      <c r="J1" s="7" t="s">
        <v>38</v>
      </c>
    </row>
    <row r="2" spans="1:10" s="2" customFormat="1">
      <c r="A2" s="2" t="s">
        <v>39</v>
      </c>
      <c r="B2" s="2" t="s">
        <v>9</v>
      </c>
      <c r="C2" s="8">
        <v>46068</v>
      </c>
      <c r="D2" s="2" t="s">
        <v>40</v>
      </c>
      <c r="E2" s="2" t="s">
        <v>41</v>
      </c>
      <c r="F2" s="3" t="s">
        <v>42</v>
      </c>
      <c r="H2" s="3" cm="1">
        <f t="array" ref="H2">_xlfn.SWITCH(TRUE(),AppTable[[#This Row],[Status]] = "Applied","",AppTable[[#This Row],[Status]] ="Interviewing", 1, AppTable[[#This Row],[Status]] ="Rejected", 1, AppTable[[#This Row],[Status]] ="Offer", 1,"")</f>
        <v>1</v>
      </c>
      <c r="I2" s="3" cm="1">
        <f t="array" ref="I2" xml:space="preserve"> _xlfn.SWITCH(TRUE(),AppTable[[#This Row],[Status]]="Interviewing",1,ISNUMBER(SEARCH("Interview",AppTable[[#This Row],[Tag]])),1,"")</f>
        <v>1</v>
      </c>
      <c r="J2" s="3" t="str">
        <f ca="1">IF(AppTable[[#This Row],[Reply]]=1,"",TODAY() - AppTable[[#This Row],[Date Applied]])</f>
        <v/>
      </c>
    </row>
    <row r="3" spans="1:10" s="2" customFormat="1">
      <c r="A3" s="2" t="s">
        <v>43</v>
      </c>
      <c r="B3" s="2" t="s">
        <v>9</v>
      </c>
      <c r="C3" s="8">
        <v>46082</v>
      </c>
      <c r="D3" s="2" t="s">
        <v>44</v>
      </c>
      <c r="E3" s="2" t="s">
        <v>45</v>
      </c>
      <c r="F3" s="3" t="s">
        <v>46</v>
      </c>
      <c r="H3" s="3" t="str" cm="1">
        <f t="array" ref="H3">_xlfn.SWITCH(TRUE(),AppTable[[#This Row],[Status]] = "Applied","",AppTable[[#This Row],[Status]] ="Interviewing", 1, AppTable[[#This Row],[Status]] ="Rejected", 1, AppTable[[#This Row],[Status]] ="Offer", 1,"")</f>
        <v/>
      </c>
      <c r="I3" s="3" t="str" cm="1">
        <f t="array" ref="I3" xml:space="preserve"> _xlfn.SWITCH(TRUE(),AppTable[[#This Row],[Status]]="Interviewing",1,ISNUMBER(SEARCH("Interview",AppTable[[#This Row],[Tag]])),1,"")</f>
        <v/>
      </c>
      <c r="J3" s="3">
        <f ca="1">IF(AppTable[[#This Row],[Reply]]=1,"",TODAY() - AppTable[[#This Row],[Date Applied]])</f>
        <v>4</v>
      </c>
    </row>
    <row r="4" spans="1:10" s="2" customFormat="1">
      <c r="A4" s="2" t="s">
        <v>47</v>
      </c>
      <c r="B4" s="2" t="s">
        <v>9</v>
      </c>
      <c r="C4" s="8">
        <v>46042</v>
      </c>
      <c r="D4" s="2" t="s">
        <v>48</v>
      </c>
      <c r="E4" s="2" t="s">
        <v>49</v>
      </c>
      <c r="F4" s="3" t="s">
        <v>50</v>
      </c>
      <c r="H4" s="3" cm="1">
        <f t="array" ref="H4">_xlfn.SWITCH(TRUE(),AppTable[[#This Row],[Status]] = "Applied","",AppTable[[#This Row],[Status]] ="Interviewing", 1, AppTable[[#This Row],[Status]] ="Rejected", 1, AppTable[[#This Row],[Status]] ="Offer", 1,"")</f>
        <v>1</v>
      </c>
      <c r="I4" s="3" t="str" cm="1">
        <f t="array" ref="I4" xml:space="preserve"> _xlfn.SWITCH(TRUE(),AppTable[[#This Row],[Status]]="Interviewing",1,ISNUMBER(SEARCH("Interview",AppTable[[#This Row],[Tag]])),1,"")</f>
        <v/>
      </c>
      <c r="J4" s="3" t="str">
        <f ca="1">IF(AppTable[[#This Row],[Reply]]=1,"",TODAY() - AppTable[[#This Row],[Date Applied]])</f>
        <v/>
      </c>
    </row>
    <row r="5" spans="1:10" s="2" customFormat="1">
      <c r="A5" s="2" t="s">
        <v>51</v>
      </c>
      <c r="B5" s="2" t="s">
        <v>25</v>
      </c>
      <c r="C5" s="8">
        <v>46085</v>
      </c>
      <c r="D5" s="2" t="s">
        <v>52</v>
      </c>
      <c r="E5" s="2" t="s">
        <v>45</v>
      </c>
      <c r="F5" s="3" t="s">
        <v>53</v>
      </c>
      <c r="H5" s="3" t="str" cm="1">
        <f t="array" ref="H5">_xlfn.SWITCH(TRUE(),AppTable[[#This Row],[Status]] = "Applied","",AppTable[[#This Row],[Status]] ="Interviewing", 1, AppTable[[#This Row],[Status]] ="Rejected", 1, AppTable[[#This Row],[Status]] ="Offer", 1,"")</f>
        <v/>
      </c>
      <c r="I5" s="3" t="str" cm="1">
        <f t="array" ref="I5" xml:space="preserve"> _xlfn.SWITCH(TRUE(),AppTable[[#This Row],[Status]]="Interviewing",1,ISNUMBER(SEARCH("Interview",AppTable[[#This Row],[Tag]])),1,"")</f>
        <v/>
      </c>
      <c r="J5" s="3">
        <f ca="1">IF(AppTable[[#This Row],[Reply]]=1,"",TODAY() - AppTable[[#This Row],[Date Applied]])</f>
        <v>1</v>
      </c>
    </row>
    <row r="6" spans="1:10" s="2" customFormat="1">
      <c r="A6" s="2" t="s">
        <v>54</v>
      </c>
      <c r="B6" s="2" t="s">
        <v>26</v>
      </c>
      <c r="C6" s="8">
        <v>46063</v>
      </c>
      <c r="D6" s="2" t="s">
        <v>55</v>
      </c>
      <c r="E6" s="2" t="s">
        <v>49</v>
      </c>
      <c r="F6" s="3" t="s">
        <v>50</v>
      </c>
      <c r="H6" s="3" cm="1">
        <f t="array" ref="H6">_xlfn.SWITCH(TRUE(),AppTable[[#This Row],[Status]] = "Applied","",AppTable[[#This Row],[Status]] ="Interviewing", 1, AppTable[[#This Row],[Status]] ="Rejected", 1, AppTable[[#This Row],[Status]] ="Offer", 1,"")</f>
        <v>1</v>
      </c>
      <c r="I6" s="3" t="str" cm="1">
        <f t="array" ref="I6" xml:space="preserve"> _xlfn.SWITCH(TRUE(),AppTable[[#This Row],[Status]]="Interviewing",1,ISNUMBER(SEARCH("Interview",AppTable[[#This Row],[Tag]])),1,"")</f>
        <v/>
      </c>
      <c r="J6" s="3" t="str">
        <f ca="1">IF(AppTable[[#This Row],[Reply]]=1,"",TODAY() - AppTable[[#This Row],[Date Applied]])</f>
        <v/>
      </c>
    </row>
    <row r="7" spans="1:10" s="2" customFormat="1">
      <c r="A7" s="2" t="s">
        <v>56</v>
      </c>
      <c r="B7" s="2" t="s">
        <v>10</v>
      </c>
      <c r="C7" s="8">
        <v>46065</v>
      </c>
      <c r="D7" s="2" t="s">
        <v>57</v>
      </c>
      <c r="E7" s="2" t="s">
        <v>45</v>
      </c>
      <c r="F7" s="3" t="s">
        <v>58</v>
      </c>
      <c r="H7" s="3" t="str" cm="1">
        <f t="array" ref="H7">_xlfn.SWITCH(TRUE(),AppTable[[#This Row],[Status]] = "Applied","",AppTable[[#This Row],[Status]] ="Interviewing", 1, AppTable[[#This Row],[Status]] ="Rejected", 1, AppTable[[#This Row],[Status]] ="Offer", 1,"")</f>
        <v/>
      </c>
      <c r="I7" s="3" t="str" cm="1">
        <f t="array" ref="I7" xml:space="preserve"> _xlfn.SWITCH(TRUE(),AppTable[[#This Row],[Status]]="Interviewing",1,ISNUMBER(SEARCH("Interview",AppTable[[#This Row],[Tag]])),1,"")</f>
        <v/>
      </c>
      <c r="J7" s="3">
        <f ca="1">IF(AppTable[[#This Row],[Reply]]=1,"",TODAY() - AppTable[[#This Row],[Date Applied]])</f>
        <v>21</v>
      </c>
    </row>
    <row r="8" spans="1:10" s="2" customFormat="1">
      <c r="A8" s="2" t="s">
        <v>59</v>
      </c>
      <c r="B8" s="2" t="s">
        <v>17</v>
      </c>
      <c r="C8" s="8">
        <v>46067</v>
      </c>
      <c r="D8" s="2" t="s">
        <v>60</v>
      </c>
      <c r="E8" s="2" t="s">
        <v>49</v>
      </c>
      <c r="F8" s="3" t="s">
        <v>42</v>
      </c>
      <c r="H8" s="3" cm="1">
        <f t="array" ref="H8">_xlfn.SWITCH(TRUE(),AppTable[[#This Row],[Status]] = "Applied","",AppTable[[#This Row],[Status]] ="Interviewing", 1, AppTable[[#This Row],[Status]] ="Rejected", 1, AppTable[[#This Row],[Status]] ="Offer", 1,"")</f>
        <v>1</v>
      </c>
      <c r="I8" s="3" t="str" cm="1">
        <f t="array" ref="I8" xml:space="preserve"> _xlfn.SWITCH(TRUE(),AppTable[[#This Row],[Status]]="Interviewing",1,ISNUMBER(SEARCH("Interview",AppTable[[#This Row],[Tag]])),1,"")</f>
        <v/>
      </c>
      <c r="J8" s="3" t="str">
        <f ca="1">IF(AppTable[[#This Row],[Reply]]=1,"",TODAY() - AppTable[[#This Row],[Date Applied]])</f>
        <v/>
      </c>
    </row>
    <row r="9" spans="1:10" s="2" customFormat="1">
      <c r="A9" s="2" t="s">
        <v>61</v>
      </c>
      <c r="B9" s="2" t="s">
        <v>13</v>
      </c>
      <c r="C9" s="8">
        <v>46068</v>
      </c>
      <c r="D9" s="2" t="s">
        <v>62</v>
      </c>
      <c r="E9" s="2" t="s">
        <v>49</v>
      </c>
      <c r="F9" s="3" t="s">
        <v>63</v>
      </c>
      <c r="H9" s="3" cm="1">
        <f t="array" ref="H9">_xlfn.SWITCH(TRUE(),AppTable[[#This Row],[Status]] = "Applied","",AppTable[[#This Row],[Status]] ="Interviewing", 1, AppTable[[#This Row],[Status]] ="Rejected", 1, AppTable[[#This Row],[Status]] ="Offer", 1,"")</f>
        <v>1</v>
      </c>
      <c r="I9" s="3" t="str" cm="1">
        <f t="array" ref="I9" xml:space="preserve"> _xlfn.SWITCH(TRUE(),AppTable[[#This Row],[Status]]="Interviewing",1,ISNUMBER(SEARCH("Interview",AppTable[[#This Row],[Tag]])),1,"")</f>
        <v/>
      </c>
      <c r="J9" s="3" t="str">
        <f ca="1">IF(AppTable[[#This Row],[Reply]]=1,"",TODAY() - AppTable[[#This Row],[Date Applied]])</f>
        <v/>
      </c>
    </row>
    <row r="10" spans="1:10" s="2" customFormat="1">
      <c r="A10" s="2" t="s">
        <v>64</v>
      </c>
      <c r="B10" s="2" t="s">
        <v>9</v>
      </c>
      <c r="C10" s="8">
        <v>46071</v>
      </c>
      <c r="D10" s="2" t="s">
        <v>65</v>
      </c>
      <c r="E10" s="2" t="s">
        <v>49</v>
      </c>
      <c r="F10" s="3" t="s">
        <v>46</v>
      </c>
      <c r="H10" s="3" cm="1">
        <f t="array" ref="H10">_xlfn.SWITCH(TRUE(),AppTable[[#This Row],[Status]] = "Applied","",AppTable[[#This Row],[Status]] ="Interviewing", 1, AppTable[[#This Row],[Status]] ="Rejected", 1, AppTable[[#This Row],[Status]] ="Offer", 1,"")</f>
        <v>1</v>
      </c>
      <c r="I10" s="3" t="str" cm="1">
        <f t="array" ref="I10" xml:space="preserve"> _xlfn.SWITCH(TRUE(),AppTable[[#This Row],[Status]]="Interviewing",1,ISNUMBER(SEARCH("Interview",AppTable[[#This Row],[Tag]])),1,"")</f>
        <v/>
      </c>
      <c r="J10" s="3" t="str">
        <f ca="1">IF(AppTable[[#This Row],[Reply]]=1,"",TODAY() - AppTable[[#This Row],[Date Applied]])</f>
        <v/>
      </c>
    </row>
    <row r="11" spans="1:10" s="2" customFormat="1">
      <c r="A11" s="2" t="s">
        <v>66</v>
      </c>
      <c r="B11" s="2" t="s">
        <v>18</v>
      </c>
      <c r="C11" s="8">
        <v>46072</v>
      </c>
      <c r="D11" s="2" t="s">
        <v>67</v>
      </c>
      <c r="E11" s="2" t="s">
        <v>45</v>
      </c>
      <c r="F11" s="3" t="s">
        <v>50</v>
      </c>
      <c r="H11" s="3" t="str" cm="1">
        <f t="array" ref="H11">_xlfn.SWITCH(TRUE(),AppTable[[#This Row],[Status]] = "Applied","",AppTable[[#This Row],[Status]] ="Interviewing", 1, AppTable[[#This Row],[Status]] ="Rejected", 1, AppTable[[#This Row],[Status]] ="Offer", 1,"")</f>
        <v/>
      </c>
      <c r="I11" s="3" t="str" cm="1">
        <f t="array" ref="I11" xml:space="preserve"> _xlfn.SWITCH(TRUE(),AppTable[[#This Row],[Status]]="Interviewing",1,ISNUMBER(SEARCH("Interview",AppTable[[#This Row],[Tag]])),1,"")</f>
        <v/>
      </c>
      <c r="J11" s="3">
        <f ca="1">IF(AppTable[[#This Row],[Reply]]=1,"",TODAY() - AppTable[[#This Row],[Date Applied]])</f>
        <v>14</v>
      </c>
    </row>
    <row r="12" spans="1:10" s="2" customFormat="1">
      <c r="A12" s="2" t="s">
        <v>68</v>
      </c>
      <c r="B12" s="2" t="s">
        <v>11</v>
      </c>
      <c r="C12" s="8">
        <v>46073</v>
      </c>
      <c r="D12" s="2" t="s">
        <v>69</v>
      </c>
      <c r="E12" s="2" t="s">
        <v>49</v>
      </c>
      <c r="F12" s="3" t="s">
        <v>53</v>
      </c>
      <c r="H12" s="3" cm="1">
        <f t="array" ref="H12">_xlfn.SWITCH(TRUE(),AppTable[[#This Row],[Status]] = "Applied","",AppTable[[#This Row],[Status]] ="Interviewing", 1, AppTable[[#This Row],[Status]] ="Rejected", 1, AppTable[[#This Row],[Status]] ="Offer", 1,"")</f>
        <v>1</v>
      </c>
      <c r="I12" s="3" t="str" cm="1">
        <f t="array" ref="I12" xml:space="preserve"> _xlfn.SWITCH(TRUE(),AppTable[[#This Row],[Status]]="Interviewing",1,ISNUMBER(SEARCH("Interview",AppTable[[#This Row],[Tag]])),1,"")</f>
        <v/>
      </c>
      <c r="J12" s="3" t="str">
        <f ca="1">IF(AppTable[[#This Row],[Reply]]=1,"",TODAY() - AppTable[[#This Row],[Date Applied]])</f>
        <v/>
      </c>
    </row>
    <row r="13" spans="1:10" s="2" customFormat="1">
      <c r="A13" s="2" t="s">
        <v>70</v>
      </c>
      <c r="B13" s="2" t="s">
        <v>15</v>
      </c>
      <c r="C13" s="8">
        <v>46074</v>
      </c>
      <c r="D13" s="2" t="s">
        <v>71</v>
      </c>
      <c r="E13" s="2" t="s">
        <v>49</v>
      </c>
      <c r="F13" s="3" t="s">
        <v>58</v>
      </c>
      <c r="H13" s="3" cm="1">
        <f t="array" ref="H13">_xlfn.SWITCH(TRUE(),AppTable[[#This Row],[Status]] = "Applied","",AppTable[[#This Row],[Status]] ="Interviewing", 1, AppTable[[#This Row],[Status]] ="Rejected", 1, AppTable[[#This Row],[Status]] ="Offer", 1,"")</f>
        <v>1</v>
      </c>
      <c r="I13" s="3" t="str" cm="1">
        <f t="array" ref="I13" xml:space="preserve"> _xlfn.SWITCH(TRUE(),AppTable[[#This Row],[Status]]="Interviewing",1,ISNUMBER(SEARCH("Interview",AppTable[[#This Row],[Tag]])),1,"")</f>
        <v/>
      </c>
      <c r="J13" s="3" t="str">
        <f ca="1">IF(AppTable[[#This Row],[Reply]]=1,"",TODAY() - AppTable[[#This Row],[Date Applied]])</f>
        <v/>
      </c>
    </row>
    <row r="14" spans="1:10" s="2" customFormat="1">
      <c r="A14" s="2" t="s">
        <v>72</v>
      </c>
      <c r="B14" s="2" t="s">
        <v>19</v>
      </c>
      <c r="C14" s="8">
        <v>46075</v>
      </c>
      <c r="D14" s="2" t="s">
        <v>73</v>
      </c>
      <c r="E14" s="2" t="s">
        <v>49</v>
      </c>
      <c r="F14" s="3" t="s">
        <v>37</v>
      </c>
      <c r="H14" s="3" cm="1">
        <f t="array" ref="H14">_xlfn.SWITCH(TRUE(),AppTable[[#This Row],[Status]] = "Applied","",AppTable[[#This Row],[Status]] ="Interviewing", 1, AppTable[[#This Row],[Status]] ="Rejected", 1, AppTable[[#This Row],[Status]] ="Offer", 1,"")</f>
        <v>1</v>
      </c>
      <c r="I14" s="3" cm="1">
        <f t="array" ref="I14" xml:space="preserve"> _xlfn.SWITCH(TRUE(),AppTable[[#This Row],[Status]]="Interviewing",1,ISNUMBER(SEARCH("Interview",AppTable[[#This Row],[Tag]])),1,"")</f>
        <v>1</v>
      </c>
      <c r="J14" s="3" t="str">
        <f ca="1">IF(AppTable[[#This Row],[Reply]]=1,"",TODAY() - AppTable[[#This Row],[Date Applied]])</f>
        <v/>
      </c>
    </row>
    <row r="15" spans="1:10" s="2" customFormat="1">
      <c r="A15" s="2" t="s">
        <v>74</v>
      </c>
      <c r="B15" s="2" t="s">
        <v>19</v>
      </c>
      <c r="C15" s="8">
        <v>46076</v>
      </c>
      <c r="D15" s="2" t="s">
        <v>75</v>
      </c>
      <c r="E15" s="2" t="s">
        <v>45</v>
      </c>
      <c r="F15" s="3" t="s">
        <v>53</v>
      </c>
      <c r="H15" s="3" t="str" cm="1">
        <f t="array" ref="H15">_xlfn.SWITCH(TRUE(),AppTable[[#This Row],[Status]] = "Applied","",AppTable[[#This Row],[Status]] ="Interviewing", 1, AppTable[[#This Row],[Status]] ="Rejected", 1, AppTable[[#This Row],[Status]] ="Offer", 1,"")</f>
        <v/>
      </c>
      <c r="I15" s="3" t="str" cm="1">
        <f t="array" ref="I15" xml:space="preserve"> _xlfn.SWITCH(TRUE(),AppTable[[#This Row],[Status]]="Interviewing",1,ISNUMBER(SEARCH("Interview",AppTable[[#This Row],[Tag]])),1,"")</f>
        <v/>
      </c>
      <c r="J15" s="3">
        <f ca="1">IF(AppTable[[#This Row],[Reply]]=1,"",TODAY() - AppTable[[#This Row],[Date Applied]])</f>
        <v>10</v>
      </c>
    </row>
    <row r="16" spans="1:10" s="2" customFormat="1">
      <c r="A16" s="2" t="s">
        <v>76</v>
      </c>
      <c r="B16" s="2" t="s">
        <v>16</v>
      </c>
      <c r="C16" s="8">
        <v>46077</v>
      </c>
      <c r="D16" s="2" t="s">
        <v>77</v>
      </c>
      <c r="E16" s="2" t="s">
        <v>45</v>
      </c>
      <c r="F16" s="3" t="s">
        <v>46</v>
      </c>
      <c r="H16" s="3" t="str" cm="1">
        <f t="array" ref="H16">_xlfn.SWITCH(TRUE(),AppTable[[#This Row],[Status]] = "Applied","",AppTable[[#This Row],[Status]] ="Interviewing", 1, AppTable[[#This Row],[Status]] ="Rejected", 1, AppTable[[#This Row],[Status]] ="Offer", 1,"")</f>
        <v/>
      </c>
      <c r="I16" s="3" t="str" cm="1">
        <f t="array" ref="I16" xml:space="preserve"> _xlfn.SWITCH(TRUE(),AppTable[[#This Row],[Status]]="Interviewing",1,ISNUMBER(SEARCH("Interview",AppTable[[#This Row],[Tag]])),1,"")</f>
        <v/>
      </c>
      <c r="J16" s="3">
        <f ca="1">IF(AppTable[[#This Row],[Reply]]=1,"",TODAY() - AppTable[[#This Row],[Date Applied]])</f>
        <v>9</v>
      </c>
    </row>
    <row r="17" spans="1:10" s="2" customFormat="1">
      <c r="A17" s="2" t="s">
        <v>78</v>
      </c>
      <c r="B17" s="2" t="s">
        <v>20</v>
      </c>
      <c r="C17" s="8">
        <v>46078</v>
      </c>
      <c r="D17" s="2" t="s">
        <v>79</v>
      </c>
      <c r="E17" s="2" t="s">
        <v>45</v>
      </c>
      <c r="F17" s="3" t="s">
        <v>53</v>
      </c>
      <c r="H17" s="3" t="str" cm="1">
        <f t="array" ref="H17">_xlfn.SWITCH(TRUE(),AppTable[[#This Row],[Status]] = "Applied","",AppTable[[#This Row],[Status]] ="Interviewing", 1, AppTable[[#This Row],[Status]] ="Rejected", 1, AppTable[[#This Row],[Status]] ="Offer", 1,"")</f>
        <v/>
      </c>
      <c r="I17" s="3" t="str" cm="1">
        <f t="array" ref="I17" xml:space="preserve"> _xlfn.SWITCH(TRUE(),AppTable[[#This Row],[Status]]="Interviewing",1,ISNUMBER(SEARCH("Interview",AppTable[[#This Row],[Tag]])),1,"")</f>
        <v/>
      </c>
      <c r="J17" s="3">
        <f ca="1">IF(AppTable[[#This Row],[Reply]]=1,"",TODAY() - AppTable[[#This Row],[Date Applied]])</f>
        <v>8</v>
      </c>
    </row>
    <row r="18" spans="1:10" s="2" customFormat="1">
      <c r="A18" s="2" t="s">
        <v>80</v>
      </c>
      <c r="B18" s="2" t="s">
        <v>9</v>
      </c>
      <c r="C18" s="8">
        <v>46079</v>
      </c>
      <c r="D18" s="2" t="s">
        <v>81</v>
      </c>
      <c r="E18" s="2" t="s">
        <v>45</v>
      </c>
      <c r="F18" s="3" t="s">
        <v>58</v>
      </c>
      <c r="H18" s="3" t="str" cm="1">
        <f t="array" ref="H18">_xlfn.SWITCH(TRUE(),AppTable[[#This Row],[Status]] = "Applied","",AppTable[[#This Row],[Status]] ="Interviewing", 1, AppTable[[#This Row],[Status]] ="Rejected", 1, AppTable[[#This Row],[Status]] ="Offer", 1,"")</f>
        <v/>
      </c>
      <c r="I18" s="3" t="str" cm="1">
        <f t="array" ref="I18" xml:space="preserve"> _xlfn.SWITCH(TRUE(),AppTable[[#This Row],[Status]]="Interviewing",1,ISNUMBER(SEARCH("Interview",AppTable[[#This Row],[Tag]])),1,"")</f>
        <v/>
      </c>
      <c r="J18" s="3">
        <f ca="1">IF(AppTable[[#This Row],[Reply]]=1,"",TODAY() - AppTable[[#This Row],[Date Applied]])</f>
        <v>7</v>
      </c>
    </row>
    <row r="19" spans="1:10" s="2" customFormat="1">
      <c r="A19" s="2" t="s">
        <v>82</v>
      </c>
      <c r="B19" s="2" t="s">
        <v>21</v>
      </c>
      <c r="C19" s="8">
        <v>46080</v>
      </c>
      <c r="D19" s="2" t="s">
        <v>83</v>
      </c>
      <c r="E19" s="2" t="s">
        <v>41</v>
      </c>
      <c r="F19" s="3" t="s">
        <v>84</v>
      </c>
      <c r="H19" s="3" cm="1">
        <f t="array" ref="H19">_xlfn.SWITCH(TRUE(),AppTable[[#This Row],[Status]] = "Applied","",AppTable[[#This Row],[Status]] ="Interviewing", 1, AppTable[[#This Row],[Status]] ="Rejected", 1, AppTable[[#This Row],[Status]] ="Offer", 1,"")</f>
        <v>1</v>
      </c>
      <c r="I19" s="3" cm="1">
        <f t="array" ref="I19" xml:space="preserve"> _xlfn.SWITCH(TRUE(),AppTable[[#This Row],[Status]]="Interviewing",1,ISNUMBER(SEARCH("Interview",AppTable[[#This Row],[Tag]])),1,"")</f>
        <v>1</v>
      </c>
      <c r="J19" s="3" t="str">
        <f ca="1">IF(AppTable[[#This Row],[Reply]]=1,"",TODAY() - AppTable[[#This Row],[Date Applied]])</f>
        <v/>
      </c>
    </row>
    <row r="20" spans="1:10" s="2" customFormat="1">
      <c r="A20" s="2" t="s">
        <v>85</v>
      </c>
      <c r="B20" s="2" t="s">
        <v>22</v>
      </c>
      <c r="C20" s="8">
        <v>46081</v>
      </c>
      <c r="D20" s="2" t="s">
        <v>86</v>
      </c>
      <c r="E20" s="2" t="s">
        <v>45</v>
      </c>
      <c r="F20" s="3" t="s">
        <v>53</v>
      </c>
      <c r="H20" s="3" t="str" cm="1">
        <f t="array" ref="H20">_xlfn.SWITCH(TRUE(),AppTable[[#This Row],[Status]] = "Applied","",AppTable[[#This Row],[Status]] ="Interviewing", 1, AppTable[[#This Row],[Status]] ="Rejected", 1, AppTable[[#This Row],[Status]] ="Offer", 1,"")</f>
        <v/>
      </c>
      <c r="I20" s="3" t="str" cm="1">
        <f t="array" ref="I20" xml:space="preserve"> _xlfn.SWITCH(TRUE(),AppTable[[#This Row],[Status]]="Interviewing",1,ISNUMBER(SEARCH("Interview",AppTable[[#This Row],[Tag]])),1,"")</f>
        <v/>
      </c>
      <c r="J20" s="3">
        <f ca="1">IF(AppTable[[#This Row],[Reply]]=1,"",TODAY() - AppTable[[#This Row],[Date Applied]])</f>
        <v>5</v>
      </c>
    </row>
    <row r="21" spans="1:10" s="2" customFormat="1">
      <c r="A21" s="2" t="s">
        <v>87</v>
      </c>
      <c r="B21" s="2" t="s">
        <v>27</v>
      </c>
      <c r="C21" s="8">
        <v>46082</v>
      </c>
      <c r="D21" s="2" t="s">
        <v>88</v>
      </c>
      <c r="E21" s="2" t="s">
        <v>45</v>
      </c>
      <c r="F21" s="3" t="s">
        <v>46</v>
      </c>
      <c r="H21" s="3" t="str" cm="1">
        <f t="array" ref="H21">_xlfn.SWITCH(TRUE(),AppTable[[#This Row],[Status]] = "Applied","",AppTable[[#This Row],[Status]] ="Interviewing", 1, AppTable[[#This Row],[Status]] ="Rejected", 1, AppTable[[#This Row],[Status]] ="Offer", 1,"")</f>
        <v/>
      </c>
      <c r="I21" s="3" t="str" cm="1">
        <f t="array" ref="I21" xml:space="preserve"> _xlfn.SWITCH(TRUE(),AppTable[[#This Row],[Status]]="Interviewing",1,ISNUMBER(SEARCH("Interview",AppTable[[#This Row],[Tag]])),1,"")</f>
        <v/>
      </c>
      <c r="J21" s="3">
        <f ca="1">IF(AppTable[[#This Row],[Reply]]=1,"",TODAY() - AppTable[[#This Row],[Date Applied]])</f>
        <v>4</v>
      </c>
    </row>
    <row r="22" spans="1:10" s="2" customFormat="1">
      <c r="A22" s="2" t="s">
        <v>89</v>
      </c>
      <c r="B22" s="2" t="s">
        <v>19</v>
      </c>
      <c r="C22" s="8">
        <v>46082</v>
      </c>
      <c r="D22" s="2" t="s">
        <v>90</v>
      </c>
      <c r="E22" s="2" t="s">
        <v>49</v>
      </c>
      <c r="F22" s="3" t="s">
        <v>50</v>
      </c>
      <c r="H22" s="3" cm="1">
        <f t="array" ref="H22">_xlfn.SWITCH(TRUE(),AppTable[[#This Row],[Status]] = "Applied","",AppTable[[#This Row],[Status]] ="Interviewing", 1, AppTable[[#This Row],[Status]] ="Rejected", 1, AppTable[[#This Row],[Status]] ="Offer", 1,"")</f>
        <v>1</v>
      </c>
      <c r="I22" s="3" t="str" cm="1">
        <f t="array" ref="I22" xml:space="preserve"> _xlfn.SWITCH(TRUE(),AppTable[[#This Row],[Status]]="Interviewing",1,ISNUMBER(SEARCH("Interview",AppTable[[#This Row],[Tag]])),1,"")</f>
        <v/>
      </c>
      <c r="J22" s="3" t="str">
        <f ca="1">IF(AppTable[[#This Row],[Reply]]=1,"",TODAY() - AppTable[[#This Row],[Date Applied]])</f>
        <v/>
      </c>
    </row>
    <row r="23" spans="1:10" s="2" customFormat="1">
      <c r="A23" s="2" t="s">
        <v>91</v>
      </c>
      <c r="B23" s="2" t="s">
        <v>18</v>
      </c>
      <c r="C23" s="8">
        <v>46083</v>
      </c>
      <c r="D23" s="2" t="s">
        <v>92</v>
      </c>
      <c r="E23" s="2" t="s">
        <v>49</v>
      </c>
      <c r="F23" s="3" t="s">
        <v>42</v>
      </c>
      <c r="H23" s="3" cm="1">
        <f t="array" ref="H23">_xlfn.SWITCH(TRUE(),AppTable[[#This Row],[Status]] = "Applied","",AppTable[[#This Row],[Status]] ="Interviewing", 1, AppTable[[#This Row],[Status]] ="Rejected", 1, AppTable[[#This Row],[Status]] ="Offer", 1,"")</f>
        <v>1</v>
      </c>
      <c r="I23" s="3" t="str" cm="1">
        <f t="array" ref="I23" xml:space="preserve"> _xlfn.SWITCH(TRUE(),AppTable[[#This Row],[Status]]="Interviewing",1,ISNUMBER(SEARCH("Interview",AppTable[[#This Row],[Tag]])),1,"")</f>
        <v/>
      </c>
      <c r="J23" s="3" t="str">
        <f ca="1">IF(AppTable[[#This Row],[Reply]]=1,"",TODAY() - AppTable[[#This Row],[Date Applied]])</f>
        <v/>
      </c>
    </row>
    <row r="24" spans="1:10" s="2" customFormat="1">
      <c r="A24" s="2" t="s">
        <v>93</v>
      </c>
      <c r="B24" s="2" t="s">
        <v>9</v>
      </c>
      <c r="C24" s="8">
        <v>46083</v>
      </c>
      <c r="D24" s="2" t="s">
        <v>94</v>
      </c>
      <c r="E24" s="2" t="s">
        <v>45</v>
      </c>
      <c r="F24" s="3" t="s">
        <v>58</v>
      </c>
      <c r="H24" s="3" t="str" cm="1">
        <f t="array" ref="H24">_xlfn.SWITCH(TRUE(),AppTable[[#This Row],[Status]] = "Applied","",AppTable[[#This Row],[Status]] ="Interviewing", 1, AppTable[[#This Row],[Status]] ="Rejected", 1, AppTable[[#This Row],[Status]] ="Offer", 1,"")</f>
        <v/>
      </c>
      <c r="I24" s="3" t="str" cm="1">
        <f t="array" ref="I24" xml:space="preserve"> _xlfn.SWITCH(TRUE(),AppTable[[#This Row],[Status]]="Interviewing",1,ISNUMBER(SEARCH("Interview",AppTable[[#This Row],[Tag]])),1,"")</f>
        <v/>
      </c>
      <c r="J24" s="3">
        <f ca="1">IF(AppTable[[#This Row],[Reply]]=1,"",TODAY() - AppTable[[#This Row],[Date Applied]])</f>
        <v>3</v>
      </c>
    </row>
    <row r="25" spans="1:10" s="2" customFormat="1">
      <c r="A25" s="2" t="s">
        <v>95</v>
      </c>
      <c r="B25" s="2" t="s">
        <v>9</v>
      </c>
      <c r="C25" s="8">
        <v>46083</v>
      </c>
      <c r="D25" s="2" t="s">
        <v>96</v>
      </c>
      <c r="E25" s="2" t="s">
        <v>41</v>
      </c>
      <c r="F25" s="3" t="s">
        <v>46</v>
      </c>
      <c r="H25" s="3" cm="1">
        <f t="array" ref="H25">_xlfn.SWITCH(TRUE(),AppTable[[#This Row],[Status]] = "Applied","",AppTable[[#This Row],[Status]] ="Interviewing", 1, AppTable[[#This Row],[Status]] ="Rejected", 1, AppTable[[#This Row],[Status]] ="Offer", 1,"")</f>
        <v>1</v>
      </c>
      <c r="I25" s="3" cm="1">
        <f t="array" ref="I25" xml:space="preserve"> _xlfn.SWITCH(TRUE(),AppTable[[#This Row],[Status]]="Interviewing",1,ISNUMBER(SEARCH("Interview",AppTable[[#This Row],[Tag]])),1,"")</f>
        <v>1</v>
      </c>
      <c r="J25" s="3" t="str">
        <f ca="1">IF(AppTable[[#This Row],[Reply]]=1,"",TODAY() - AppTable[[#This Row],[Date Applied]])</f>
        <v/>
      </c>
    </row>
    <row r="26" spans="1:10" s="2" customFormat="1">
      <c r="A26" s="2" t="s">
        <v>97</v>
      </c>
      <c r="B26" s="2" t="s">
        <v>28</v>
      </c>
      <c r="C26" s="8">
        <v>46084</v>
      </c>
      <c r="D26" s="2" t="s">
        <v>98</v>
      </c>
      <c r="E26" s="2" t="s">
        <v>45</v>
      </c>
      <c r="F26" s="3" t="s">
        <v>50</v>
      </c>
      <c r="H26" s="3" t="str" cm="1">
        <f t="array" ref="H26">_xlfn.SWITCH(TRUE(),AppTable[[#This Row],[Status]] = "Applied","",AppTable[[#This Row],[Status]] ="Interviewing", 1, AppTable[[#This Row],[Status]] ="Rejected", 1, AppTable[[#This Row],[Status]] ="Offer", 1,"")</f>
        <v/>
      </c>
      <c r="I26" s="3" t="str" cm="1">
        <f t="array" ref="I26" xml:space="preserve"> _xlfn.SWITCH(TRUE(),AppTable[[#This Row],[Status]]="Interviewing",1,ISNUMBER(SEARCH("Interview",AppTable[[#This Row],[Tag]])),1,"")</f>
        <v/>
      </c>
      <c r="J26" s="3">
        <f ca="1">IF(AppTable[[#This Row],[Reply]]=1,"",TODAY() - AppTable[[#This Row],[Date Applied]])</f>
        <v>2</v>
      </c>
    </row>
    <row r="27" spans="1:10" s="2" customFormat="1">
      <c r="A27" s="2" t="s">
        <v>99</v>
      </c>
      <c r="B27" s="2" t="s">
        <v>12</v>
      </c>
      <c r="C27" s="8">
        <v>46084</v>
      </c>
      <c r="D27" s="2" t="s">
        <v>100</v>
      </c>
      <c r="E27" s="2" t="s">
        <v>45</v>
      </c>
      <c r="F27" s="3" t="s">
        <v>63</v>
      </c>
      <c r="H27" s="3" t="str" cm="1">
        <f t="array" ref="H27">_xlfn.SWITCH(TRUE(),AppTable[[#This Row],[Status]] = "Applied","",AppTable[[#This Row],[Status]] ="Interviewing", 1, AppTable[[#This Row],[Status]] ="Rejected", 1, AppTable[[#This Row],[Status]] ="Offer", 1,"")</f>
        <v/>
      </c>
      <c r="I27" s="3" t="str" cm="1">
        <f t="array" ref="I27" xml:space="preserve"> _xlfn.SWITCH(TRUE(),AppTable[[#This Row],[Status]]="Interviewing",1,ISNUMBER(SEARCH("Interview",AppTable[[#This Row],[Tag]])),1,"")</f>
        <v/>
      </c>
      <c r="J27" s="3">
        <f ca="1">IF(AppTable[[#This Row],[Reply]]=1,"",TODAY() - AppTable[[#This Row],[Date Applied]])</f>
        <v>2</v>
      </c>
    </row>
    <row r="28" spans="1:10" s="2" customFormat="1">
      <c r="A28" s="2" t="s">
        <v>101</v>
      </c>
      <c r="B28" s="2" t="s">
        <v>23</v>
      </c>
      <c r="C28" s="8">
        <v>46084</v>
      </c>
      <c r="D28" s="2" t="s">
        <v>102</v>
      </c>
      <c r="E28" s="2" t="s">
        <v>45</v>
      </c>
      <c r="F28" s="3" t="s">
        <v>46</v>
      </c>
      <c r="H28" s="3" t="str" cm="1">
        <f t="array" ref="H28">_xlfn.SWITCH(TRUE(),AppTable[[#This Row],[Status]] = "Applied","",AppTable[[#This Row],[Status]] ="Interviewing", 1, AppTable[[#This Row],[Status]] ="Rejected", 1, AppTable[[#This Row],[Status]] ="Offer", 1,"")</f>
        <v/>
      </c>
      <c r="I28" s="3" t="str" cm="1">
        <f t="array" ref="I28" xml:space="preserve"> _xlfn.SWITCH(TRUE(),AppTable[[#This Row],[Status]]="Interviewing",1,ISNUMBER(SEARCH("Interview",AppTable[[#This Row],[Tag]])),1,"")</f>
        <v/>
      </c>
      <c r="J28" s="3">
        <f ca="1">IF(AppTable[[#This Row],[Reply]]=1,"",TODAY() - AppTable[[#This Row],[Date Applied]])</f>
        <v>2</v>
      </c>
    </row>
    <row r="29" spans="1:10" s="2" customFormat="1">
      <c r="A29" s="2" t="s">
        <v>103</v>
      </c>
      <c r="B29" s="2" t="s">
        <v>24</v>
      </c>
      <c r="C29" s="8">
        <v>46085</v>
      </c>
      <c r="D29" s="2" t="s">
        <v>104</v>
      </c>
      <c r="E29" s="2" t="s">
        <v>45</v>
      </c>
      <c r="F29" s="3" t="s">
        <v>53</v>
      </c>
      <c r="H29" s="3" t="str" cm="1">
        <f t="array" ref="H29">_xlfn.SWITCH(TRUE(),AppTable[[#This Row],[Status]] = "Applied","",AppTable[[#This Row],[Status]] ="Interviewing", 1, AppTable[[#This Row],[Status]] ="Rejected", 1, AppTable[[#This Row],[Status]] ="Offer", 1,"")</f>
        <v/>
      </c>
      <c r="I29" s="3" t="str" cm="1">
        <f t="array" ref="I29" xml:space="preserve"> _xlfn.SWITCH(TRUE(),AppTable[[#This Row],[Status]]="Interviewing",1,ISNUMBER(SEARCH("Interview",AppTable[[#This Row],[Tag]])),1,"")</f>
        <v/>
      </c>
      <c r="J29" s="3">
        <f ca="1">IF(AppTable[[#This Row],[Reply]]=1,"",TODAY() - AppTable[[#This Row],[Date Applied]])</f>
        <v>1</v>
      </c>
    </row>
    <row r="30" spans="1:10" s="2" customFormat="1">
      <c r="A30" s="2" t="s">
        <v>105</v>
      </c>
      <c r="B30" s="2" t="s">
        <v>18</v>
      </c>
      <c r="C30" s="8">
        <v>46085</v>
      </c>
      <c r="D30" s="2" t="s">
        <v>106</v>
      </c>
      <c r="E30" s="2" t="s">
        <v>45</v>
      </c>
      <c r="F30" s="3" t="s">
        <v>46</v>
      </c>
      <c r="H30" s="3" t="str" cm="1">
        <f t="array" ref="H30">_xlfn.SWITCH(TRUE(),AppTable[[#This Row],[Status]] = "Applied","",AppTable[[#This Row],[Status]] ="Interviewing", 1, AppTable[[#This Row],[Status]] ="Rejected", 1, AppTable[[#This Row],[Status]] ="Offer", 1,"")</f>
        <v/>
      </c>
      <c r="I30" s="3" t="str" cm="1">
        <f t="array" ref="I30" xml:space="preserve"> _xlfn.SWITCH(TRUE(),AppTable[[#This Row],[Status]]="Interviewing",1,ISNUMBER(SEARCH("Interview",AppTable[[#This Row],[Tag]])),1,"")</f>
        <v/>
      </c>
      <c r="J30" s="3">
        <f ca="1">IF(AppTable[[#This Row],[Reply]]=1,"",TODAY() - AppTable[[#This Row],[Date Applied]])</f>
        <v>1</v>
      </c>
    </row>
    <row r="31" spans="1:10" s="2" customFormat="1">
      <c r="A31" s="2" t="s">
        <v>107</v>
      </c>
      <c r="B31" s="2" t="s">
        <v>9</v>
      </c>
      <c r="C31" s="8">
        <v>46085</v>
      </c>
      <c r="D31" s="2" t="s">
        <v>108</v>
      </c>
      <c r="E31" s="2" t="s">
        <v>45</v>
      </c>
      <c r="F31" s="3" t="s">
        <v>58</v>
      </c>
      <c r="H31" s="3" t="str" cm="1">
        <f t="array" ref="H31">_xlfn.SWITCH(TRUE(),AppTable[[#This Row],[Status]] = "Applied","",AppTable[[#This Row],[Status]] ="Interviewing", 1, AppTable[[#This Row],[Status]] ="Rejected", 1, AppTable[[#This Row],[Status]] ="Offer", 1,"")</f>
        <v/>
      </c>
      <c r="I31" s="3" t="str" cm="1">
        <f t="array" ref="I31" xml:space="preserve"> _xlfn.SWITCH(TRUE(),AppTable[[#This Row],[Status]]="Interviewing",1,ISNUMBER(SEARCH("Interview",AppTable[[#This Row],[Tag]])),1,"")</f>
        <v/>
      </c>
      <c r="J31" s="3">
        <f ca="1">IF(AppTable[[#This Row],[Reply]]=1,"",TODAY() - AppTable[[#This Row],[Date Applied]])</f>
        <v>1</v>
      </c>
    </row>
    <row r="32" spans="1:10" s="2" customFormat="1">
      <c r="A32" s="2" t="s">
        <v>109</v>
      </c>
      <c r="B32" s="2" t="s">
        <v>19</v>
      </c>
      <c r="C32" s="8">
        <v>46086</v>
      </c>
      <c r="D32" s="2" t="s">
        <v>110</v>
      </c>
      <c r="E32" s="2" t="s">
        <v>45</v>
      </c>
      <c r="F32" s="3" t="s">
        <v>58</v>
      </c>
      <c r="H32" s="3" t="str" cm="1">
        <f t="array" ref="H32">_xlfn.SWITCH(TRUE(),AppTable[[#This Row],[Status]] = "Applied","",AppTable[[#This Row],[Status]] ="Interviewing", 1, AppTable[[#This Row],[Status]] ="Rejected", 1, AppTable[[#This Row],[Status]] ="Offer", 1,"")</f>
        <v/>
      </c>
      <c r="I32" s="3" t="str" cm="1">
        <f t="array" ref="I32" xml:space="preserve"> _xlfn.SWITCH(TRUE(),AppTable[[#This Row],[Status]]="Interviewing",1,ISNUMBER(SEARCH("Interview",AppTable[[#This Row],[Tag]])),1,"")</f>
        <v/>
      </c>
      <c r="J32" s="3">
        <f ca="1">IF(AppTable[[#This Row],[Reply]]=1,"",TODAY() - AppTable[[#This Row],[Date Applied]])</f>
        <v>0</v>
      </c>
    </row>
    <row r="33" spans="1:10" s="2" customFormat="1">
      <c r="A33" s="2" t="s">
        <v>111</v>
      </c>
      <c r="B33" s="2" t="s">
        <v>29</v>
      </c>
      <c r="C33" s="8">
        <v>46086</v>
      </c>
      <c r="D33" s="2" t="s">
        <v>112</v>
      </c>
      <c r="E33" s="2" t="s">
        <v>45</v>
      </c>
      <c r="F33" s="3" t="s">
        <v>63</v>
      </c>
      <c r="H33" s="3" t="str" cm="1">
        <f t="array" ref="H33">_xlfn.SWITCH(TRUE(),AppTable[[#This Row],[Status]] = "Applied","",AppTable[[#This Row],[Status]] ="Interviewing", 1, AppTable[[#This Row],[Status]] ="Rejected", 1, AppTable[[#This Row],[Status]] ="Offer", 1,"")</f>
        <v/>
      </c>
      <c r="I33" s="3" t="str" cm="1">
        <f t="array" ref="I33" xml:space="preserve"> _xlfn.SWITCH(TRUE(),AppTable[[#This Row],[Status]]="Interviewing",1,ISNUMBER(SEARCH("Interview",AppTable[[#This Row],[Tag]])),1,"")</f>
        <v/>
      </c>
      <c r="J33" s="3">
        <f ca="1">IF(AppTable[[#This Row],[Reply]]=1,"",TODAY() - AppTable[[#This Row],[Date Applied]])</f>
        <v>0</v>
      </c>
    </row>
    <row r="34" spans="1:10" s="2" customFormat="1">
      <c r="A34" s="2" t="s">
        <v>113</v>
      </c>
      <c r="B34" s="2" t="s">
        <v>9</v>
      </c>
      <c r="C34" s="8">
        <v>46086</v>
      </c>
      <c r="D34" s="2" t="s">
        <v>114</v>
      </c>
      <c r="E34" s="2" t="s">
        <v>45</v>
      </c>
      <c r="F34" s="3" t="s">
        <v>46</v>
      </c>
      <c r="H34" s="3" t="str" cm="1">
        <f t="array" ref="H34">_xlfn.SWITCH(TRUE(),AppTable[[#This Row],[Status]] = "Applied","",AppTable[[#This Row],[Status]] ="Interviewing", 1, AppTable[[#This Row],[Status]] ="Rejected", 1, AppTable[[#This Row],[Status]] ="Offer", 1,"")</f>
        <v/>
      </c>
      <c r="I34" s="3" t="str" cm="1">
        <f t="array" ref="I34" xml:space="preserve"> _xlfn.SWITCH(TRUE(),AppTable[[#This Row],[Status]]="Interviewing",1,ISNUMBER(SEARCH("Interview",AppTable[[#This Row],[Tag]])),1,"")</f>
        <v/>
      </c>
      <c r="J34" s="3">
        <f ca="1">IF(AppTable[[#This Row],[Reply]]=1,"",TODAY() - AppTable[[#This Row],[Date Applied]])</f>
        <v>0</v>
      </c>
    </row>
    <row r="35" spans="1:10" s="2" customFormat="1">
      <c r="A35" s="2" t="s">
        <v>115</v>
      </c>
      <c r="B35" s="2" t="s">
        <v>14</v>
      </c>
      <c r="C35" s="8">
        <v>46086</v>
      </c>
      <c r="D35" s="2" t="s">
        <v>116</v>
      </c>
      <c r="E35" s="2" t="s">
        <v>45</v>
      </c>
      <c r="F35" s="3" t="s">
        <v>53</v>
      </c>
      <c r="H35" s="3" t="str" cm="1">
        <f t="array" ref="H35">_xlfn.SWITCH(TRUE(),AppTable[[#This Row],[Status]] = "Applied","",AppTable[[#This Row],[Status]] ="Interviewing", 1, AppTable[[#This Row],[Status]] ="Rejected", 1, AppTable[[#This Row],[Status]] ="Offer", 1,"")</f>
        <v/>
      </c>
      <c r="I35" s="3" t="str" cm="1">
        <f t="array" ref="I35" xml:space="preserve"> _xlfn.SWITCH(TRUE(),AppTable[[#This Row],[Status]]="Interviewing",1,ISNUMBER(SEARCH("Interview",AppTable[[#This Row],[Tag]])),1,"")</f>
        <v/>
      </c>
      <c r="J35" s="3">
        <f ca="1">IF(AppTable[[#This Row],[Reply]]=1,"",TODAY() - AppTable[[#This Row],[Date Applied]])</f>
        <v>0</v>
      </c>
    </row>
    <row r="36" spans="1:10" s="2" customFormat="1">
      <c r="F36" s="3"/>
      <c r="H36" s="3"/>
      <c r="I36" s="3"/>
      <c r="J36" s="3"/>
    </row>
    <row r="37" spans="1:10" s="2" customFormat="1">
      <c r="F37" s="3"/>
      <c r="H37" s="3"/>
      <c r="I37" s="3"/>
      <c r="J37" s="3"/>
    </row>
    <row r="38" spans="1:10" s="2" customFormat="1">
      <c r="F38" s="3"/>
      <c r="H38" s="3"/>
      <c r="I38" s="3"/>
      <c r="J38" s="3"/>
    </row>
    <row r="39" spans="1:10" s="2" customFormat="1">
      <c r="F39" s="3"/>
      <c r="H39" s="3"/>
      <c r="I39" s="3"/>
      <c r="J39" s="3"/>
    </row>
    <row r="40" spans="1:10" s="2" customFormat="1">
      <c r="F40" s="3"/>
      <c r="H40" s="3"/>
      <c r="I40" s="3"/>
      <c r="J40" s="3"/>
    </row>
    <row r="41" spans="1:10" s="2" customFormat="1">
      <c r="F41" s="3"/>
      <c r="H41" s="3"/>
      <c r="I41" s="3"/>
      <c r="J41" s="3"/>
    </row>
    <row r="42" spans="1:10" s="2" customFormat="1">
      <c r="F42" s="3"/>
      <c r="H42" s="3"/>
      <c r="I42" s="3"/>
      <c r="J42" s="3"/>
    </row>
    <row r="43" spans="1:10" s="2" customFormat="1">
      <c r="F43" s="3"/>
      <c r="H43" s="3"/>
      <c r="I43" s="3"/>
      <c r="J43" s="3"/>
    </row>
    <row r="44" spans="1:10" s="2" customFormat="1">
      <c r="F44" s="3"/>
      <c r="H44" s="3"/>
      <c r="I44" s="3"/>
      <c r="J44" s="3"/>
    </row>
    <row r="45" spans="1:10" s="2" customFormat="1">
      <c r="F45" s="3"/>
      <c r="H45" s="3"/>
      <c r="I45" s="3"/>
      <c r="J45" s="3"/>
    </row>
    <row r="46" spans="1:10" s="2" customFormat="1">
      <c r="F46" s="3"/>
      <c r="H46" s="3"/>
      <c r="I46" s="3"/>
      <c r="J46" s="3"/>
    </row>
    <row r="47" spans="1:10" s="2" customFormat="1">
      <c r="F47" s="3"/>
      <c r="H47" s="3"/>
      <c r="I47" s="3"/>
      <c r="J47" s="3"/>
    </row>
    <row r="48" spans="1:10" s="2" customFormat="1">
      <c r="F48" s="3"/>
      <c r="H48" s="3"/>
      <c r="I48" s="3"/>
      <c r="J48" s="3"/>
    </row>
    <row r="49" spans="6:10" s="2" customFormat="1">
      <c r="F49" s="3"/>
      <c r="H49" s="3"/>
      <c r="I49" s="3"/>
      <c r="J49" s="3"/>
    </row>
    <row r="50" spans="6:10" s="2" customFormat="1">
      <c r="F50" s="3"/>
      <c r="H50" s="3"/>
      <c r="I50" s="3"/>
      <c r="J50" s="3"/>
    </row>
    <row r="51" spans="6:10" s="2" customFormat="1">
      <c r="F51" s="3"/>
      <c r="H51" s="3"/>
      <c r="I51" s="3"/>
      <c r="J51" s="3"/>
    </row>
    <row r="52" spans="6:10" s="2" customFormat="1">
      <c r="F52" s="3"/>
      <c r="H52" s="3"/>
      <c r="I52" s="3"/>
      <c r="J52" s="3"/>
    </row>
  </sheetData>
  <conditionalFormatting sqref="J1:J104857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:F1048576">
    <cfRule type="containsText" dxfId="18" priority="7" operator="containsText" text="Contract">
      <formula>NOT(ISERROR(SEARCH("Contract",F1)))</formula>
    </cfRule>
  </conditionalFormatting>
  <conditionalFormatting sqref="F1:F1048576">
    <cfRule type="containsText" dxfId="17" priority="6" operator="containsText" text="Remote">
      <formula>NOT(ISERROR(SEARCH("Remote",F1)))</formula>
    </cfRule>
  </conditionalFormatting>
  <conditionalFormatting sqref="F1:F1048576">
    <cfRule type="containsText" dxfId="16" priority="5" operator="containsText" text="EZ Apply">
      <formula>NOT(ISERROR(SEARCH("EZ Apply",F1)))</formula>
    </cfRule>
  </conditionalFormatting>
  <conditionalFormatting sqref="F1:F1048576">
    <cfRule type="containsText" dxfId="15" priority="4" operator="containsText" text="Hybrid">
      <formula>NOT(ISERROR(SEARCH("Hybrid",F1)))</formula>
    </cfRule>
  </conditionalFormatting>
  <conditionalFormatting sqref="F1:F1048576">
    <cfRule type="containsText" dxfId="14" priority="3" operator="containsText" text="OnSite">
      <formula>NOT(ISERROR(SEARCH("OnSite",F1)))</formula>
    </cfRule>
  </conditionalFormatting>
  <conditionalFormatting sqref="F1:F1048576">
    <cfRule type="containsText" dxfId="13" priority="2" operator="containsText" text="Interview">
      <formula>NOT(ISERROR(SEARCH("Interview",F1)))</formula>
    </cfRule>
  </conditionalFormatting>
  <conditionalFormatting sqref="F1:F1048576">
    <cfRule type="containsText" dxfId="12" priority="1" operator="containsText" text="Recruiter">
      <formula>NOT(ISERROR(SEARCH("Recruiter",F1)))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2550903-F016-4C18-A066-82F8C6B3986C}">
          <x14:formula1>
            <xm:f>'Status and Tags Picklist'!$A$1:$A$4</xm:f>
          </x14:formula1>
          <xm:sqref>E2:E35</xm:sqref>
        </x14:dataValidation>
        <x14:dataValidation type="list" allowBlank="1" showInputMessage="1" showErrorMessage="1" xr:uid="{EA61CD56-19E9-43E0-8D8E-F46921680453}">
          <x14:formula1>
            <xm:f>'Status and Tags Picklist'!$F$1:$F$8</xm:f>
          </x14:formula1>
          <xm:sqref>F2:F35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16ACD-A7DC-4E63-BC0E-2F843AC85B4C}">
  <dimension ref="A1:F8"/>
  <sheetViews>
    <sheetView workbookViewId="0">
      <selection activeCell="D27" sqref="D27"/>
    </sheetView>
  </sheetViews>
  <sheetFormatPr defaultRowHeight="15"/>
  <cols>
    <col min="1" max="1" width="11.140625" bestFit="1" customWidth="1"/>
    <col min="6" max="6" width="12.28515625" bestFit="1" customWidth="1"/>
  </cols>
  <sheetData>
    <row r="1" spans="1:6">
      <c r="A1" t="s">
        <v>45</v>
      </c>
      <c r="F1" t="s">
        <v>42</v>
      </c>
    </row>
    <row r="2" spans="1:6">
      <c r="A2" t="s">
        <v>49</v>
      </c>
      <c r="F2" t="s">
        <v>63</v>
      </c>
    </row>
    <row r="3" spans="1:6">
      <c r="A3" t="s">
        <v>41</v>
      </c>
      <c r="F3" t="s">
        <v>58</v>
      </c>
    </row>
    <row r="4" spans="1:6">
      <c r="A4" t="s">
        <v>117</v>
      </c>
      <c r="F4" t="s">
        <v>53</v>
      </c>
    </row>
    <row r="5" spans="1:6">
      <c r="F5" t="s">
        <v>46</v>
      </c>
    </row>
    <row r="6" spans="1:6">
      <c r="F6" t="s">
        <v>50</v>
      </c>
    </row>
    <row r="7" spans="1:6">
      <c r="F7" t="s">
        <v>37</v>
      </c>
    </row>
    <row r="8" spans="1:6">
      <c r="F8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2026-03-05T20:59:13Z</dcterms:created>
  <dcterms:modified xsi:type="dcterms:W3CDTF">2026-03-05T22:43:33Z</dcterms:modified>
  <cp:category/>
  <cp:contentStatus/>
</cp:coreProperties>
</file>